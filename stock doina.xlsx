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dor\Desktop\claude\proyectos claude\"/>
    </mc:Choice>
  </mc:AlternateContent>
  <xr:revisionPtr revIDLastSave="0" documentId="13_ncr:1_{FCDCD45F-8813-466D-B56D-F63DFE36ADEE}" xr6:coauthVersionLast="47" xr6:coauthVersionMax="47" xr10:uidLastSave="{00000000-0000-0000-0000-000000000000}"/>
  <bookViews>
    <workbookView xWindow="-108" yWindow="-108" windowWidth="23256" windowHeight="13896" firstSheet="6" activeTab="9" xr2:uid="{00000000-000D-0000-FFFF-FFFF00000000}"/>
  </bookViews>
  <sheets>
    <sheet name="jamon parma" sheetId="6" r:id="rId1"/>
    <sheet name="jamon iberico" sheetId="12" r:id="rId2"/>
    <sheet name="SALAME FUET" sheetId="7" r:id="rId3"/>
    <sheet name="PANCETA SALADA" sheetId="8" r:id="rId4"/>
    <sheet name="BONDIOLA CURADA" sheetId="9" r:id="rId5"/>
    <sheet name="LOMO CURADO" sheetId="10" r:id="rId6"/>
    <sheet name="RAPIDISIMOS" sheetId="11" r:id="rId7"/>
    <sheet name="RESUMEN STOCK PROCESO" sheetId="5" r:id="rId8"/>
    <sheet name="stock terminado produccion" sheetId="3" r:id="rId9"/>
    <sheet name="stock expedicion" sheetId="1" r:id="rId10"/>
    <sheet name="RESUMEN STOCK" sheetId="4" r:id="rId11"/>
  </sheets>
  <definedNames>
    <definedName name="_xlnm.Print_Area" localSheetId="8">'stock terminado produccion'!$A$3:$C$21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9" i="3" l="1"/>
  <c r="E248" i="3"/>
  <c r="F248" i="3" s="1"/>
  <c r="C248" i="3"/>
  <c r="E247" i="3"/>
  <c r="F247" i="3" s="1"/>
  <c r="C247" i="3"/>
  <c r="F24" i="3"/>
  <c r="F25" i="3"/>
  <c r="F26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C53" i="3"/>
  <c r="D53" i="3"/>
  <c r="F53" i="3" s="1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94" i="3"/>
  <c r="F95" i="3"/>
  <c r="F96" i="3"/>
  <c r="F97" i="3"/>
  <c r="F98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20" i="3"/>
  <c r="F121" i="3"/>
  <c r="C122" i="3"/>
  <c r="D122" i="3"/>
  <c r="E122" i="3"/>
  <c r="F123" i="3"/>
  <c r="C124" i="3"/>
  <c r="D124" i="3"/>
  <c r="E124" i="3"/>
  <c r="F124" i="3" s="1"/>
  <c r="F125" i="3"/>
  <c r="F126" i="3"/>
  <c r="F127" i="3"/>
  <c r="F128" i="3"/>
  <c r="F129" i="3"/>
  <c r="F130" i="3"/>
  <c r="F131" i="3"/>
  <c r="F132" i="3"/>
  <c r="F135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C220" i="3"/>
  <c r="F220" i="3"/>
  <c r="F221" i="3"/>
  <c r="F222" i="3"/>
  <c r="F223" i="3"/>
  <c r="F224" i="3"/>
  <c r="F225" i="3"/>
  <c r="E7" i="9"/>
  <c r="F122" i="3" l="1"/>
  <c r="E27" i="11"/>
  <c r="E5" i="10"/>
  <c r="E6" i="9"/>
  <c r="E4" i="8"/>
  <c r="E8" i="7"/>
  <c r="E9" i="7"/>
  <c r="E104" i="12"/>
  <c r="E105" i="12"/>
  <c r="E106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5" i="6"/>
  <c r="E6" i="6"/>
  <c r="E7" i="6"/>
  <c r="E8" i="6"/>
  <c r="E9" i="6"/>
  <c r="F6" i="4"/>
  <c r="G6" i="4"/>
  <c r="F7" i="4"/>
  <c r="G7" i="4"/>
  <c r="F9" i="4"/>
  <c r="G9" i="4"/>
  <c r="G10" i="4"/>
  <c r="F12" i="4"/>
  <c r="G12" i="4"/>
  <c r="F14" i="4"/>
  <c r="G14" i="4"/>
  <c r="F16" i="4"/>
  <c r="G16" i="4"/>
  <c r="F17" i="4"/>
  <c r="G17" i="4"/>
  <c r="F18" i="4"/>
  <c r="F19" i="4"/>
  <c r="G19" i="4"/>
  <c r="F21" i="4"/>
  <c r="G21" i="4"/>
  <c r="F22" i="4"/>
  <c r="G22" i="4"/>
  <c r="F23" i="4"/>
  <c r="G23" i="4"/>
  <c r="F24" i="4"/>
  <c r="G24" i="4"/>
  <c r="F25" i="4"/>
  <c r="G25" i="4"/>
  <c r="F26" i="4"/>
  <c r="G26" i="4"/>
  <c r="F28" i="4"/>
  <c r="G28" i="4"/>
  <c r="F29" i="4"/>
  <c r="G29" i="4"/>
  <c r="G5" i="4"/>
  <c r="F5" i="4"/>
  <c r="C8" i="5"/>
  <c r="G8" i="4" s="1"/>
  <c r="C10" i="5"/>
  <c r="C11" i="5"/>
  <c r="G11" i="4" s="1"/>
  <c r="C14" i="5"/>
  <c r="G15" i="4" s="1"/>
  <c r="C17" i="5"/>
  <c r="G18" i="4" s="1"/>
  <c r="C19" i="5" a="1"/>
  <c r="C19" i="5" s="1"/>
  <c r="G20" i="4" s="1"/>
  <c r="C26" i="5"/>
  <c r="G27" i="4" s="1"/>
  <c r="B10" i="5"/>
  <c r="F10" i="4" s="1"/>
  <c r="B8" i="5"/>
  <c r="F8" i="4" s="1"/>
  <c r="B26" i="5"/>
  <c r="F27" i="4" s="1"/>
  <c r="B19" i="5" a="1"/>
  <c r="B19" i="5" s="1"/>
  <c r="F20" i="4" s="1"/>
  <c r="B14" i="5"/>
  <c r="F15" i="4" s="1"/>
  <c r="B17" i="5"/>
  <c r="B11" i="5"/>
  <c r="F11" i="4" s="1"/>
  <c r="G3" i="6"/>
  <c r="G3" i="12"/>
  <c r="E7" i="7"/>
  <c r="E6" i="7"/>
  <c r="E5" i="7"/>
  <c r="E4" i="7"/>
  <c r="E5" i="9"/>
  <c r="E4" i="9"/>
  <c r="E4" i="10"/>
  <c r="E2" i="10"/>
  <c r="E4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B23" i="1" l="1"/>
  <c r="C23" i="1"/>
  <c r="C4" i="1" l="1"/>
  <c r="C6" i="4" s="1"/>
  <c r="C5" i="1"/>
  <c r="C7" i="4" s="1"/>
  <c r="C6" i="1"/>
  <c r="C8" i="4" s="1"/>
  <c r="C7" i="1"/>
  <c r="C9" i="4" s="1"/>
  <c r="C8" i="1"/>
  <c r="C10" i="4" s="1"/>
  <c r="C9" i="1"/>
  <c r="C11" i="4" s="1"/>
  <c r="C10" i="1"/>
  <c r="C12" i="4" s="1"/>
  <c r="C11" i="1"/>
  <c r="C14" i="4" s="1"/>
  <c r="C12" i="1"/>
  <c r="C15" i="4" s="1"/>
  <c r="C13" i="1"/>
  <c r="C16" i="4" s="1"/>
  <c r="C14" i="1"/>
  <c r="C17" i="4" s="1"/>
  <c r="C15" i="1"/>
  <c r="C18" i="4" s="1"/>
  <c r="C16" i="1"/>
  <c r="C19" i="4" s="1"/>
  <c r="C17" i="1"/>
  <c r="C20" i="4" s="1"/>
  <c r="C18" i="1"/>
  <c r="C22" i="4" s="1"/>
  <c r="C19" i="1"/>
  <c r="C23" i="4" s="1"/>
  <c r="C20" i="1"/>
  <c r="C24" i="4" s="1"/>
  <c r="C21" i="1"/>
  <c r="C25" i="4" s="1"/>
  <c r="C22" i="1"/>
  <c r="C26" i="4" s="1"/>
  <c r="C24" i="1"/>
  <c r="C28" i="4" s="1"/>
  <c r="C25" i="1"/>
  <c r="C29" i="4" s="1"/>
  <c r="C3" i="1"/>
  <c r="C5" i="4" s="1"/>
  <c r="B4" i="1"/>
  <c r="B6" i="4" s="1"/>
  <c r="B5" i="1"/>
  <c r="B7" i="4" s="1"/>
  <c r="B6" i="1"/>
  <c r="B8" i="4" s="1"/>
  <c r="B7" i="1"/>
  <c r="B9" i="4" s="1"/>
  <c r="B8" i="1"/>
  <c r="B10" i="4" s="1"/>
  <c r="B9" i="1"/>
  <c r="B11" i="4" s="1"/>
  <c r="B10" i="1"/>
  <c r="B12" i="4" s="1"/>
  <c r="B11" i="1"/>
  <c r="B14" i="4" s="1"/>
  <c r="B12" i="1"/>
  <c r="B15" i="4" s="1"/>
  <c r="B13" i="1"/>
  <c r="B16" i="4" s="1"/>
  <c r="B14" i="1"/>
  <c r="B17" i="4" s="1"/>
  <c r="B15" i="1"/>
  <c r="B18" i="4" s="1"/>
  <c r="B16" i="1"/>
  <c r="B19" i="4" s="1"/>
  <c r="B17" i="1"/>
  <c r="B20" i="4" s="1"/>
  <c r="B18" i="1"/>
  <c r="B22" i="4" s="1"/>
  <c r="B19" i="1"/>
  <c r="B23" i="4" s="1"/>
  <c r="B20" i="1"/>
  <c r="B24" i="4" s="1"/>
  <c r="B21" i="1"/>
  <c r="B25" i="4" s="1"/>
  <c r="B22" i="1"/>
  <c r="B26" i="4" s="1"/>
  <c r="B24" i="1"/>
  <c r="B28" i="4" s="1"/>
  <c r="B25" i="1"/>
  <c r="B29" i="4" s="1"/>
  <c r="B3" i="1"/>
  <c r="B5" i="4" s="1"/>
  <c r="B13" i="3"/>
  <c r="D13" i="4" s="1"/>
  <c r="B9" i="3"/>
  <c r="D5" i="4" s="1"/>
  <c r="B4" i="3"/>
  <c r="D6" i="4" s="1"/>
  <c r="B12" i="3"/>
  <c r="D12" i="4" s="1"/>
  <c r="B11" i="3"/>
  <c r="D11" i="4" s="1"/>
  <c r="B5" i="3"/>
  <c r="D8" i="4" s="1"/>
  <c r="B14" i="3"/>
  <c r="D15" i="4" s="1"/>
  <c r="B7" i="3"/>
  <c r="D10" i="4" l="1"/>
  <c r="C11" i="3"/>
  <c r="E11" i="4" s="1"/>
  <c r="C7" i="3"/>
  <c r="E10" i="4" s="1"/>
  <c r="C12" i="3"/>
  <c r="E12" i="4" s="1"/>
  <c r="C4" i="3"/>
  <c r="E6" i="4" s="1"/>
  <c r="C13" i="3"/>
  <c r="E13" i="4" s="1"/>
  <c r="C5" i="3"/>
  <c r="E8" i="4" s="1"/>
  <c r="C14" i="3"/>
  <c r="E15" i="4" s="1"/>
  <c r="C9" i="3"/>
  <c r="E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<sst xmlns="http://schemas.openxmlformats.org/spreadsheetml/2006/main" count="1067" uniqueCount="440">
  <si>
    <t>Descripcion</t>
  </si>
  <si>
    <t>Cant</t>
  </si>
  <si>
    <t>Uni</t>
  </si>
  <si>
    <t>Kg</t>
  </si>
  <si>
    <t>Vencimiento</t>
  </si>
  <si>
    <t>Lote</t>
  </si>
  <si>
    <t>VidaUtil</t>
  </si>
  <si>
    <t>VidaUtilPorc</t>
  </si>
  <si>
    <t>Jamon crudo -12m rendidor Doina</t>
  </si>
  <si>
    <t>22/06/2027</t>
  </si>
  <si>
    <t>241E/69</t>
  </si>
  <si>
    <t>Jamon crudo C/ Hueso Doina</t>
  </si>
  <si>
    <t>16/02/2027</t>
  </si>
  <si>
    <t>241E/45</t>
  </si>
  <si>
    <t>28/04/2027</t>
  </si>
  <si>
    <t>212E/42</t>
  </si>
  <si>
    <t>Panceta salada mini pieza Doina</t>
  </si>
  <si>
    <t>20/08/2026</t>
  </si>
  <si>
    <t>266E/10</t>
  </si>
  <si>
    <t>Jamon crudo -12m Iberico Doina</t>
  </si>
  <si>
    <t>29/05/2027</t>
  </si>
  <si>
    <t>221E/127</t>
  </si>
  <si>
    <t>Jamon crudo 1/2-12m iberico Doina</t>
  </si>
  <si>
    <t>21/05/2027</t>
  </si>
  <si>
    <t>221E/129</t>
  </si>
  <si>
    <t>Jamon crudo -12m Parma doina</t>
  </si>
  <si>
    <t>232E/20</t>
  </si>
  <si>
    <t>232E/23</t>
  </si>
  <si>
    <t>232E/8</t>
  </si>
  <si>
    <t>Pernil Delipork</t>
  </si>
  <si>
    <t>24/11/2026</t>
  </si>
  <si>
    <t>258E/30</t>
  </si>
  <si>
    <t>05/12/2026</t>
  </si>
  <si>
    <t>258E/34</t>
  </si>
  <si>
    <t>25/12/2026</t>
  </si>
  <si>
    <t>258E/37</t>
  </si>
  <si>
    <t>27/12/2026</t>
  </si>
  <si>
    <t>268E/39</t>
  </si>
  <si>
    <t>29/12/2026</t>
  </si>
  <si>
    <t>19/01/2027</t>
  </si>
  <si>
    <t>258E/44</t>
  </si>
  <si>
    <t>Pernil mitades Delipork</t>
  </si>
  <si>
    <t>20/11/2026</t>
  </si>
  <si>
    <t>05/01/2027</t>
  </si>
  <si>
    <t>Jamon crudo 1/2-12m rendidor Doina</t>
  </si>
  <si>
    <t>14/05/2027</t>
  </si>
  <si>
    <t>241E/77</t>
  </si>
  <si>
    <t>07/06/2027</t>
  </si>
  <si>
    <t>241E/86</t>
  </si>
  <si>
    <t>Bondiola curada Doina</t>
  </si>
  <si>
    <t>22/03/2026</t>
  </si>
  <si>
    <t>Bondiola mitades Doina</t>
  </si>
  <si>
    <t>25/05/2026</t>
  </si>
  <si>
    <t>255E/08</t>
  </si>
  <si>
    <t>Bondiola curada mini pieza Doina</t>
  </si>
  <si>
    <t>254E/10</t>
  </si>
  <si>
    <t>Lomo 1/2 curada Doina</t>
  </si>
  <si>
    <t>30/08/2026</t>
  </si>
  <si>
    <t>267E/01</t>
  </si>
  <si>
    <t>Lomo mini pieza curada Doina</t>
  </si>
  <si>
    <t>Panceta salada Doina</t>
  </si>
  <si>
    <t>Panceta ahumada Doina</t>
  </si>
  <si>
    <t>268E/10</t>
  </si>
  <si>
    <t>268E/12</t>
  </si>
  <si>
    <t>268E/14</t>
  </si>
  <si>
    <t>Panceta ahumada mini pieza Doina</t>
  </si>
  <si>
    <t>268E/16</t>
  </si>
  <si>
    <t>Salame puro cerdo doina</t>
  </si>
  <si>
    <t>30/05/2026</t>
  </si>
  <si>
    <t>128</t>
  </si>
  <si>
    <t>02/06/2026</t>
  </si>
  <si>
    <t>129</t>
  </si>
  <si>
    <t>29/07/2026</t>
  </si>
  <si>
    <t>Salame puro cerdo minipieza Doina</t>
  </si>
  <si>
    <t>07/03/2026</t>
  </si>
  <si>
    <t>126</t>
  </si>
  <si>
    <t>Caja de regalo jamon crudo 1/2 Doina</t>
  </si>
  <si>
    <t>29/01/2027</t>
  </si>
  <si>
    <t>221E/50</t>
  </si>
  <si>
    <t>Jamon Crudo Delipork</t>
  </si>
  <si>
    <t>258E/40</t>
  </si>
  <si>
    <t>08/01/2027</t>
  </si>
  <si>
    <t>Jamon Crudo mitades Delipork</t>
  </si>
  <si>
    <t>27/11/2026</t>
  </si>
  <si>
    <t>268E/38</t>
  </si>
  <si>
    <t>UNIDADES</t>
  </si>
  <si>
    <t>PARMA</t>
  </si>
  <si>
    <t>BONDIOLA</t>
  </si>
  <si>
    <t>Fecha</t>
  </si>
  <si>
    <t>Unidades</t>
  </si>
  <si>
    <t>KG</t>
  </si>
  <si>
    <t>Original Entero</t>
  </si>
  <si>
    <t>Original Mitades</t>
  </si>
  <si>
    <t>Parma Entero</t>
  </si>
  <si>
    <t>Parma Mitades</t>
  </si>
  <si>
    <t>Rendidor Entero</t>
  </si>
  <si>
    <t>Rendidor Mitades</t>
  </si>
  <si>
    <t>Pernil</t>
  </si>
  <si>
    <t>Pernil Mitades</t>
  </si>
  <si>
    <t>Speck</t>
  </si>
  <si>
    <t>Bondiola</t>
  </si>
  <si>
    <t>Lomo Mitades</t>
  </si>
  <si>
    <t>Fuet</t>
  </si>
  <si>
    <t>Panceta ahumada</t>
  </si>
  <si>
    <t>Panceta Salada</t>
  </si>
  <si>
    <t>Paleta</t>
  </si>
  <si>
    <t>Paleta c/hueso</t>
  </si>
  <si>
    <t>Jamón c/hueso</t>
  </si>
  <si>
    <t>Producto</t>
  </si>
  <si>
    <t>Kg Bruto</t>
  </si>
  <si>
    <t>Tara</t>
  </si>
  <si>
    <t>Kg Neto</t>
  </si>
  <si>
    <t>Envasado</t>
  </si>
  <si>
    <t>232E / 17</t>
  </si>
  <si>
    <t>232E / 22</t>
  </si>
  <si>
    <t>232E/25</t>
  </si>
  <si>
    <t>232E /26</t>
  </si>
  <si>
    <t>232E / 26</t>
  </si>
  <si>
    <t>232E /28</t>
  </si>
  <si>
    <t>232E / 28</t>
  </si>
  <si>
    <t>232E /32</t>
  </si>
  <si>
    <t>232E/35</t>
  </si>
  <si>
    <t>232E/36</t>
  </si>
  <si>
    <t>232E /36</t>
  </si>
  <si>
    <t>232E/39</t>
  </si>
  <si>
    <t>232E / 38</t>
  </si>
  <si>
    <t>232E/ 38</t>
  </si>
  <si>
    <t>232E/37</t>
  </si>
  <si>
    <t>232R/41</t>
  </si>
  <si>
    <t>232E/32</t>
  </si>
  <si>
    <t>232E/42</t>
  </si>
  <si>
    <t>232E/49</t>
  </si>
  <si>
    <t>232E/50</t>
  </si>
  <si>
    <t>232E/50/44</t>
  </si>
  <si>
    <t>232E/57</t>
  </si>
  <si>
    <t>232E/48</t>
  </si>
  <si>
    <t>232E/43</t>
  </si>
  <si>
    <t>232E/51</t>
  </si>
  <si>
    <t>232E / 45</t>
  </si>
  <si>
    <t>232E/45</t>
  </si>
  <si>
    <t>232E/56</t>
  </si>
  <si>
    <t>232E/54</t>
  </si>
  <si>
    <t>232E/52</t>
  </si>
  <si>
    <t>232E/53</t>
  </si>
  <si>
    <t>232E/55</t>
  </si>
  <si>
    <t>232E/61</t>
  </si>
  <si>
    <t>232E/60</t>
  </si>
  <si>
    <t>232E/62</t>
  </si>
  <si>
    <t>232E/64</t>
  </si>
  <si>
    <t>232E/63</t>
  </si>
  <si>
    <t>232E/59</t>
  </si>
  <si>
    <t>16/09/20204</t>
  </si>
  <si>
    <t>235E/59</t>
  </si>
  <si>
    <t>232E/68</t>
  </si>
  <si>
    <t>232E/72</t>
  </si>
  <si>
    <t>232E/70</t>
  </si>
  <si>
    <t>232E/69</t>
  </si>
  <si>
    <t>232E/65</t>
  </si>
  <si>
    <t>232E/67</t>
  </si>
  <si>
    <t>232E/71</t>
  </si>
  <si>
    <t>232E/77</t>
  </si>
  <si>
    <t>232E/75</t>
  </si>
  <si>
    <t>232E/80</t>
  </si>
  <si>
    <t>232E/81</t>
  </si>
  <si>
    <t>232E/93</t>
  </si>
  <si>
    <t>232E/95</t>
  </si>
  <si>
    <t>232E/73/76</t>
  </si>
  <si>
    <t>232E/85</t>
  </si>
  <si>
    <t>232E/88/91</t>
  </si>
  <si>
    <t>232E/78</t>
  </si>
  <si>
    <t>221E/74</t>
  </si>
  <si>
    <t>232E/90</t>
  </si>
  <si>
    <t>232E/84</t>
  </si>
  <si>
    <t>ORIGINAL</t>
  </si>
  <si>
    <t>221E/122</t>
  </si>
  <si>
    <t>231E/12</t>
  </si>
  <si>
    <t>231E/2</t>
  </si>
  <si>
    <t>231E/13</t>
  </si>
  <si>
    <t>231E/17</t>
  </si>
  <si>
    <t>231E/8</t>
  </si>
  <si>
    <t>231E/18</t>
  </si>
  <si>
    <t>231E/20</t>
  </si>
  <si>
    <t>231E/32</t>
  </si>
  <si>
    <t>241E/7</t>
  </si>
  <si>
    <t>241E/6</t>
  </si>
  <si>
    <t>RENDIDOR</t>
  </si>
  <si>
    <t>241E/71</t>
  </si>
  <si>
    <t>241E/74</t>
  </si>
  <si>
    <t>241E/82</t>
  </si>
  <si>
    <t>242E/42</t>
  </si>
  <si>
    <t>222E/08</t>
  </si>
  <si>
    <t>222E/09</t>
  </si>
  <si>
    <t>221E/120</t>
  </si>
  <si>
    <t>241E/33</t>
  </si>
  <si>
    <t>232E/27</t>
  </si>
  <si>
    <t>241E/60</t>
  </si>
  <si>
    <t>254E/31</t>
  </si>
  <si>
    <t>254E/32</t>
  </si>
  <si>
    <t>254E/33</t>
  </si>
  <si>
    <t>2643/01</t>
  </si>
  <si>
    <t>264E/02</t>
  </si>
  <si>
    <t>264E/3</t>
  </si>
  <si>
    <t>264E/4</t>
  </si>
  <si>
    <t>264E/5</t>
  </si>
  <si>
    <t>264E/6</t>
  </si>
  <si>
    <t>264E/07</t>
  </si>
  <si>
    <t>264E/08</t>
  </si>
  <si>
    <t>264E/09</t>
  </si>
  <si>
    <t>264E/10</t>
  </si>
  <si>
    <t>219e/13 - 219e/15</t>
  </si>
  <si>
    <t>219e/19 - 219e/20</t>
  </si>
  <si>
    <t>SPECK</t>
  </si>
  <si>
    <t>219E/24B</t>
  </si>
  <si>
    <t>21 9E 26</t>
  </si>
  <si>
    <t>219E/31</t>
  </si>
  <si>
    <t>219E/29</t>
  </si>
  <si>
    <t>219E/27</t>
  </si>
  <si>
    <t>219E/28</t>
  </si>
  <si>
    <t>219E/34</t>
  </si>
  <si>
    <t>219E/32</t>
  </si>
  <si>
    <t>219E/35</t>
  </si>
  <si>
    <t>219E/33</t>
  </si>
  <si>
    <t>219E/38</t>
  </si>
  <si>
    <t>219E/37</t>
  </si>
  <si>
    <t>219E/41</t>
  </si>
  <si>
    <t>219E/42</t>
  </si>
  <si>
    <t>219E/39</t>
  </si>
  <si>
    <t>219E/40</t>
  </si>
  <si>
    <t>PERNIL</t>
  </si>
  <si>
    <t>258E/41</t>
  </si>
  <si>
    <t>258E/43</t>
  </si>
  <si>
    <t>258E/42</t>
  </si>
  <si>
    <t>268E/41</t>
  </si>
  <si>
    <t>Jamon c/h c/Pezuña</t>
  </si>
  <si>
    <t>STOCK EXPEDICION</t>
  </si>
  <si>
    <t>STOCK PRODUCCION</t>
  </si>
  <si>
    <t>STOCK PROCESO</t>
  </si>
  <si>
    <t>Salame Fuet Doina</t>
  </si>
  <si>
    <t>266E/12</t>
  </si>
  <si>
    <t>28/06/2027</t>
  </si>
  <si>
    <t>01/07/2027</t>
  </si>
  <si>
    <t>02/07/2027</t>
  </si>
  <si>
    <t>30/01/2027</t>
  </si>
  <si>
    <t>01/11/2026</t>
  </si>
  <si>
    <t>255E/30</t>
  </si>
  <si>
    <t>04/09/2026</t>
  </si>
  <si>
    <t>268E/17</t>
  </si>
  <si>
    <t>05/08/2026</t>
  </si>
  <si>
    <t>268E/19</t>
  </si>
  <si>
    <t>268E/18</t>
  </si>
  <si>
    <t>01/02/2027</t>
  </si>
  <si>
    <t>22/01/2027</t>
  </si>
  <si>
    <t>232E/11</t>
  </si>
  <si>
    <t>232E/19</t>
  </si>
  <si>
    <t>232E/14</t>
  </si>
  <si>
    <t>232E/10</t>
  </si>
  <si>
    <t>264E/11</t>
  </si>
  <si>
    <t>264E/12</t>
  </si>
  <si>
    <t>EN PROCESO</t>
  </si>
  <si>
    <t>STOCK RAPIDISIMOS</t>
  </si>
  <si>
    <t>DIAS PROCESO</t>
  </si>
  <si>
    <t>FECHA SALAZON</t>
  </si>
  <si>
    <t>N° LOTE</t>
  </si>
  <si>
    <t>KILOS</t>
  </si>
  <si>
    <t>FECHA TERMINACION</t>
  </si>
  <si>
    <t>258E/47</t>
  </si>
  <si>
    <t>258E/48</t>
  </si>
  <si>
    <t>258E/49</t>
  </si>
  <si>
    <t>268E/01</t>
  </si>
  <si>
    <t>268E/02</t>
  </si>
  <si>
    <t>268E/03</t>
  </si>
  <si>
    <t>268E/04</t>
  </si>
  <si>
    <t>268E/05</t>
  </si>
  <si>
    <t>268E/06</t>
  </si>
  <si>
    <t>268E/07</t>
  </si>
  <si>
    <t>268E/08</t>
  </si>
  <si>
    <t>268E/09</t>
  </si>
  <si>
    <t>268E/11</t>
  </si>
  <si>
    <t>268E/13</t>
  </si>
  <si>
    <t>268E/15</t>
  </si>
  <si>
    <t>268E/20</t>
  </si>
  <si>
    <t>STOCK LOMO</t>
  </si>
  <si>
    <t>267E/03</t>
  </si>
  <si>
    <t>STOCK BONDIOLA</t>
  </si>
  <si>
    <t>264E/13</t>
  </si>
  <si>
    <t>264E/14</t>
  </si>
  <si>
    <t>STOCK PANCETA SALADA</t>
  </si>
  <si>
    <t>STOCK FUET</t>
  </si>
  <si>
    <t>265E/15</t>
  </si>
  <si>
    <t>265E/16</t>
  </si>
  <si>
    <t>265E/17</t>
  </si>
  <si>
    <t>265E/18</t>
  </si>
  <si>
    <t>STOCK IBERICO</t>
  </si>
  <si>
    <t>CHICOS</t>
  </si>
  <si>
    <t>GRANDES</t>
  </si>
  <si>
    <t>EXTRAGRANDES</t>
  </si>
  <si>
    <t>251E/01</t>
  </si>
  <si>
    <t>CHICO</t>
  </si>
  <si>
    <t>251E/02</t>
  </si>
  <si>
    <t>GRANDE</t>
  </si>
  <si>
    <t>251E/03</t>
  </si>
  <si>
    <t>251E/04</t>
  </si>
  <si>
    <t>251E/05</t>
  </si>
  <si>
    <t>251E/06</t>
  </si>
  <si>
    <t>251E/07</t>
  </si>
  <si>
    <t>251E/08</t>
  </si>
  <si>
    <t>251E/09</t>
  </si>
  <si>
    <t>251E/10</t>
  </si>
  <si>
    <t>251E/11</t>
  </si>
  <si>
    <t>251E/12</t>
  </si>
  <si>
    <t>251E/13</t>
  </si>
  <si>
    <t>251E/14</t>
  </si>
  <si>
    <t>251E/15</t>
  </si>
  <si>
    <t>251E/16</t>
  </si>
  <si>
    <t>251E/17</t>
  </si>
  <si>
    <t>EXTRAGRANDE</t>
  </si>
  <si>
    <t>251E/18</t>
  </si>
  <si>
    <t>251E/19</t>
  </si>
  <si>
    <t>251E/20</t>
  </si>
  <si>
    <t>251E/21</t>
  </si>
  <si>
    <t>251E/22</t>
  </si>
  <si>
    <t>251E/23</t>
  </si>
  <si>
    <t>251E/24</t>
  </si>
  <si>
    <t>251E/25</t>
  </si>
  <si>
    <t>251E/26</t>
  </si>
  <si>
    <t>251E/27</t>
  </si>
  <si>
    <t>251E/28</t>
  </si>
  <si>
    <t>251E/29</t>
  </si>
  <si>
    <t>251E/30</t>
  </si>
  <si>
    <t>251E/31</t>
  </si>
  <si>
    <t>251E/32</t>
  </si>
  <si>
    <t>251E/33</t>
  </si>
  <si>
    <t>251E/34</t>
  </si>
  <si>
    <t>251E/35</t>
  </si>
  <si>
    <t>251E/36</t>
  </si>
  <si>
    <t>251E/37</t>
  </si>
  <si>
    <t>251E/38</t>
  </si>
  <si>
    <t>251E/39</t>
  </si>
  <si>
    <t>251E/40</t>
  </si>
  <si>
    <t>251E/41</t>
  </si>
  <si>
    <t>251E/42</t>
  </si>
  <si>
    <t>251E/43</t>
  </si>
  <si>
    <t>251E/44</t>
  </si>
  <si>
    <t>251E/45</t>
  </si>
  <si>
    <t>251E/46</t>
  </si>
  <si>
    <t>251E/47</t>
  </si>
  <si>
    <t>251E/48</t>
  </si>
  <si>
    <t>251E/49</t>
  </si>
  <si>
    <t>251E/50</t>
  </si>
  <si>
    <t>251E/51</t>
  </si>
  <si>
    <t>251E/52</t>
  </si>
  <si>
    <t>251E/53</t>
  </si>
  <si>
    <t>251E/54</t>
  </si>
  <si>
    <t>251E/55</t>
  </si>
  <si>
    <t>251E/56</t>
  </si>
  <si>
    <t>251E/57</t>
  </si>
  <si>
    <t>251E/58</t>
  </si>
  <si>
    <t>251E/59</t>
  </si>
  <si>
    <t>251E/60</t>
  </si>
  <si>
    <t>261E/01</t>
  </si>
  <si>
    <t>261E/02</t>
  </si>
  <si>
    <t>261E/03</t>
  </si>
  <si>
    <t>261E/04</t>
  </si>
  <si>
    <t>261E/05</t>
  </si>
  <si>
    <t>261E/06</t>
  </si>
  <si>
    <t>261E/07</t>
  </si>
  <si>
    <t>261E/08</t>
  </si>
  <si>
    <t>261E/09</t>
  </si>
  <si>
    <t>261E/10</t>
  </si>
  <si>
    <t>261E/11</t>
  </si>
  <si>
    <t>261E/12</t>
  </si>
  <si>
    <t>261E/13</t>
  </si>
  <si>
    <t>261E/14</t>
  </si>
  <si>
    <t>261E/15</t>
  </si>
  <si>
    <t>261E/16</t>
  </si>
  <si>
    <t>261E/17</t>
  </si>
  <si>
    <t>261E/18</t>
  </si>
  <si>
    <t>261E/19</t>
  </si>
  <si>
    <t>261E/20</t>
  </si>
  <si>
    <t>261E/21</t>
  </si>
  <si>
    <t>261E/22</t>
  </si>
  <si>
    <t>261E/23</t>
  </si>
  <si>
    <t>261E/24</t>
  </si>
  <si>
    <t>261E/25</t>
  </si>
  <si>
    <t>261E/26</t>
  </si>
  <si>
    <t>261E/27</t>
  </si>
  <si>
    <t>261E/28</t>
  </si>
  <si>
    <t>261E/29</t>
  </si>
  <si>
    <t>261E/30</t>
  </si>
  <si>
    <t>261E/31</t>
  </si>
  <si>
    <t>261E/32</t>
  </si>
  <si>
    <t>261E/33</t>
  </si>
  <si>
    <t>261E/34</t>
  </si>
  <si>
    <t>261E/35</t>
  </si>
  <si>
    <t>261E/36</t>
  </si>
  <si>
    <t>261E/37</t>
  </si>
  <si>
    <t>261E/38</t>
  </si>
  <si>
    <t>261E/39</t>
  </si>
  <si>
    <t>TAMAÑO</t>
  </si>
  <si>
    <t>STOCK PARMA</t>
  </si>
  <si>
    <t>262E/01</t>
  </si>
  <si>
    <t>262E/02</t>
  </si>
  <si>
    <t>262E/03</t>
  </si>
  <si>
    <t>262E/04</t>
  </si>
  <si>
    <t>262E/05</t>
  </si>
  <si>
    <t>261E/40</t>
  </si>
  <si>
    <t>261E/41</t>
  </si>
  <si>
    <t>261E/42</t>
  </si>
  <si>
    <t>265E/19</t>
  </si>
  <si>
    <t>265E/20</t>
  </si>
  <si>
    <t>266E/14</t>
  </si>
  <si>
    <t>264E/15</t>
  </si>
  <si>
    <t>267E/04</t>
  </si>
  <si>
    <t>268E/21</t>
  </si>
  <si>
    <t>232E/08</t>
  </si>
  <si>
    <t>264E/16</t>
  </si>
  <si>
    <t>05/09/2026</t>
  </si>
  <si>
    <t>265E/13</t>
  </si>
  <si>
    <t>10/09/2026</t>
  </si>
  <si>
    <t>265E/14</t>
  </si>
  <si>
    <t>05/07/2027</t>
  </si>
  <si>
    <t>266E/13</t>
  </si>
  <si>
    <t>231/6</t>
  </si>
  <si>
    <t>231E/27</t>
  </si>
  <si>
    <t>09/07/2027</t>
  </si>
  <si>
    <t>231E/26</t>
  </si>
  <si>
    <t>231E/4</t>
  </si>
  <si>
    <t>08/07/2027</t>
  </si>
  <si>
    <t>232E/13</t>
  </si>
  <si>
    <t>255E/16</t>
  </si>
  <si>
    <t>232E/29</t>
  </si>
  <si>
    <t>232E/33</t>
  </si>
  <si>
    <t>06/02/2027</t>
  </si>
  <si>
    <t>08/02/2027</t>
  </si>
  <si>
    <t>268E/42</t>
  </si>
  <si>
    <t>07/01/2027</t>
  </si>
  <si>
    <t>241E/30</t>
  </si>
  <si>
    <t>13/08/2026</t>
  </si>
  <si>
    <t>09/07/2026</t>
  </si>
  <si>
    <t>12/07/2026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</si>
</sst>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ED67E"/>
      </patternFill>
    </fill>
    <fill>
      <patternFill patternType="solid">
        <fgColor rgb="FFB8B8B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5" borderId="0" xfId="0" applyFont="1" applyFill="1" applyAlignment="1">
      <alignment horizontal="center"/>
    </xf>
    <xf numFmtId="14" fontId="0" fillId="0" borderId="5" xfId="0" applyNumberFormat="1" applyBorder="1"/>
    <xf numFmtId="0" fontId="2" fillId="0" borderId="0" xfId="0" applyFont="1" applyAlignment="1">
      <alignment horizontal="center"/>
    </xf>
    <xf numFmtId="14" fontId="0" fillId="0" borderId="0" xfId="0" applyNumberFormat="1"/>
    <xf numFmtId="0" fontId="2" fillId="5" borderId="0" xfId="0" applyFont="1" applyFill="1"/>
    <xf numFmtId="0" fontId="2" fillId="5" borderId="16" xfId="0" applyFont="1" applyFill="1" applyBorder="1"/>
    <xf numFmtId="3" fontId="0" fillId="0" borderId="1" xfId="0" applyNumberFormat="1" applyBorder="1" applyAlignment="1">
      <alignment horizontal="center"/>
    </xf>
    <xf numFmtId="0" fontId="2" fillId="5" borderId="17" xfId="0" applyFont="1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vertical="center"/>
    </xf>
    <xf numFmtId="0" fontId="2" fillId="5" borderId="14" xfId="0" applyFont="1" applyFill="1" applyBorder="1" applyAlignment="1">
      <alignment horizontal="center"/>
    </xf>
    <xf numFmtId="3" fontId="0" fillId="0" borderId="21" xfId="0" applyNumberFormat="1" applyBorder="1" applyAlignment="1">
      <alignment horizontal="center"/>
    </xf>
    <xf numFmtId="3" fontId="0" fillId="0" borderId="22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1" fontId="0" fillId="6" borderId="1" xfId="0" applyNumberFormat="1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2" fontId="0" fillId="6" borderId="18" xfId="0" applyNumberFormat="1" applyFill="1" applyBorder="1" applyAlignment="1">
      <alignment horizontal="center"/>
    </xf>
    <xf numFmtId="14" fontId="0" fillId="6" borderId="18" xfId="0" applyNumberForma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14" fontId="4" fillId="6" borderId="18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7" borderId="4" xfId="0" applyFont="1" applyFill="1" applyBorder="1" applyAlignment="1">
      <alignment horizontal="center"/>
    </xf>
    <xf numFmtId="14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4" fontId="8" fillId="4" borderId="9" xfId="0" applyNumberFormat="1" applyFont="1" applyFill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 applyAlignment="1">
      <alignment horizontal="center"/>
    </xf>
    <xf numFmtId="14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4" fontId="8" fillId="0" borderId="28" xfId="0" applyNumberFormat="1" applyFont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7" fillId="0" borderId="23" xfId="0" applyFont="1" applyBorder="1"/>
    <xf numFmtId="14" fontId="8" fillId="0" borderId="29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4" fontId="8" fillId="0" borderId="30" xfId="0" applyNumberFormat="1" applyFont="1" applyBorder="1" applyAlignment="1">
      <alignment horizontal="center" vertical="center"/>
    </xf>
    <xf numFmtId="0" fontId="7" fillId="0" borderId="31" xfId="0" applyFont="1" applyBorder="1"/>
    <xf numFmtId="14" fontId="8" fillId="0" borderId="32" xfId="0" applyNumberFormat="1" applyFont="1" applyBorder="1" applyAlignment="1">
      <alignment horizontal="center" vertical="center"/>
    </xf>
    <xf numFmtId="14" fontId="8" fillId="4" borderId="11" xfId="0" applyNumberFormat="1" applyFont="1" applyFill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3" fontId="0" fillId="0" borderId="33" xfId="0" applyNumberFormat="1" applyBorder="1" applyAlignment="1">
      <alignment horizontal="center"/>
    </xf>
    <xf numFmtId="3" fontId="0" fillId="0" borderId="34" xfId="0" applyNumberFormat="1" applyBorder="1" applyAlignment="1">
      <alignment horizontal="center"/>
    </xf>
    <xf numFmtId="3" fontId="0" fillId="0" borderId="35" xfId="0" applyNumberFormat="1" applyBorder="1" applyAlignment="1">
      <alignment horizontal="center"/>
    </xf>
    <xf numFmtId="3" fontId="0" fillId="0" borderId="36" xfId="0" applyNumberFormat="1" applyBorder="1" applyAlignment="1">
      <alignment horizontal="center"/>
    </xf>
    <xf numFmtId="3" fontId="0" fillId="0" borderId="37" xfId="0" applyNumberForma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1" fontId="0" fillId="6" borderId="18" xfId="0" applyNumberFormat="1" applyFill="1" applyBorder="1" applyAlignment="1">
      <alignment horizontal="center"/>
    </xf>
    <xf numFmtId="2" fontId="4" fillId="6" borderId="18" xfId="0" applyNumberFormat="1" applyFont="1" applyFill="1" applyBorder="1" applyAlignment="1">
      <alignment horizontal="center"/>
    </xf>
    <xf numFmtId="2" fontId="9" fillId="6" borderId="18" xfId="0" applyNumberFormat="1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6" fillId="0" borderId="0" xfId="0" applyFont="1" applyAlignment="1">
      <alignment horizontal="center"/>
    </xf>
    <xf numFmtId="0" fontId="6" fillId="7" borderId="4" xfId="0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</cellXfs>
  <cellStyles count="1">
    <cellStyle name="Normal" xfId="0" builtinId="0"/>
  </cellStyles>
  <dxfs count="73">
    <dxf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theme="0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ck">
          <color indexed="64"/>
        </left>
        <top style="thick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 style="thin">
          <color indexed="64"/>
        </top>
        <bottom/>
        <vertical/>
        <horizontal/>
      </border>
    </dxf>
    <dxf>
      <border outline="0">
        <left style="thick">
          <color indexed="64"/>
        </left>
        <top style="thick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ck">
          <color indexed="64"/>
        </left>
        <top style="thick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ck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B8B8B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7CEB9B-2923-4A4C-AA11-BC81F05106FA}" name="Tabla4" displayName="Tabla4" ref="A4:F9" totalsRowShown="0" headerRowDxfId="69" dataDxfId="67" headerRowBorderDxfId="68">
  <autoFilter ref="A4:F9" xr:uid="{997CEB9B-2923-4A4C-AA11-BC81F05106FA}"/>
  <tableColumns count="6">
    <tableColumn id="1" xr3:uid="{D58044D5-F1AF-4DB2-8E35-D03F06ED2F30}" name="FECHA SALAZON" dataDxfId="66"/>
    <tableColumn id="2" xr3:uid="{7BA6A8B1-DA5D-4B45-8C2B-5CFC6A42635A}" name="N° LOTE" dataDxfId="65"/>
    <tableColumn id="3" xr3:uid="{A65DC631-4356-42FE-BD04-2628699A424B}" name="UNIDADES" dataDxfId="64"/>
    <tableColumn id="4" xr3:uid="{87B1504B-F47D-49DC-9377-CEBE16CAB12E}" name="KILOS" dataDxfId="63"/>
    <tableColumn id="5" xr3:uid="{9E1C1A0F-CB21-45E7-BD09-CAB2E3270DB5}" name="FECHA TERMINACION" dataDxfId="62">
      <calculatedColumnFormula>+A5+$E$3</calculatedColumnFormula>
    </tableColumn>
    <tableColumn id="6" xr3:uid="{EF41C38A-EFC0-47BA-BE9A-B85102F26F51}" name="TAMAÑO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560466-FF3B-45A2-8068-CE79B791A8ED}" name="Tabla1" displayName="Tabla1" ref="A4:F106" totalsRowShown="0" headerRowDxfId="60" dataDxfId="58" headerRowBorderDxfId="59" tableBorderDxfId="57">
  <autoFilter ref="A4:F106" xr:uid="{96560466-FF3B-45A2-8068-CE79B791A8ED}"/>
  <tableColumns count="6">
    <tableColumn id="1" xr3:uid="{6511CF9D-2ADF-4988-8EC0-2ECED776F414}" name="FECHA SALAZON" dataDxfId="56"/>
    <tableColumn id="2" xr3:uid="{867E7867-BC82-4A47-8AEB-A01A0AE8E08B}" name="N° LOTE" dataDxfId="55"/>
    <tableColumn id="3" xr3:uid="{15EEC0A0-3708-46F0-A02A-2CF49ABFDBA5}" name="UNIDADES" dataDxfId="54"/>
    <tableColumn id="4" xr3:uid="{9C28F57B-D2AC-4B6F-816C-47DFC4579365}" name="KILOS" dataDxfId="53"/>
    <tableColumn id="5" xr3:uid="{2E00FF43-7F3A-4B3F-BF8A-18C51216D6F9}" name="FECHA TERMINACION" dataDxfId="52">
      <calculatedColumnFormula>IF(F5="CHICO",A5+365,IF(F5="GRANDE",A5+395,IF(F5="EXTRAGRANDE",A5+425,"")))</calculatedColumnFormula>
    </tableColumn>
    <tableColumn id="6" xr3:uid="{B5BDD0B9-FAAF-4C0C-97F6-37E3C56DD928}" name="TAMAÑO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9E842E-78D6-4D45-A634-F585E354D7F2}" name="Tabla5" displayName="Tabla5" ref="A3:E9" totalsRowShown="0" headerRowDxfId="50" dataDxfId="48" headerRowBorderDxfId="49" tableBorderDxfId="47">
  <autoFilter ref="A3:E9" xr:uid="{D89E842E-78D6-4D45-A634-F585E354D7F2}"/>
  <tableColumns count="5">
    <tableColumn id="1" xr3:uid="{9DB3551A-870D-4AA3-A059-127880751B52}" name="FECHA SALAZON" dataDxfId="46"/>
    <tableColumn id="2" xr3:uid="{36E854DA-A107-49DF-B87C-CDABC1B2F167}" name="N° LOTE" dataDxfId="45"/>
    <tableColumn id="3" xr3:uid="{35FA5642-14F6-41B8-B848-2C1A4EE12112}" name="UNIDADES" dataDxfId="44"/>
    <tableColumn id="4" xr3:uid="{FD4A329C-C457-4315-BFD8-434719CF0367}" name="KILOS" dataDxfId="43"/>
    <tableColumn id="5" xr3:uid="{6A658D4D-67A5-4565-BEDB-40551CF0CFFA}" name="FECHA TERMINACION" dataDxfId="42">
      <calculatedColumnFormula>+A4+$E$2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E6FF9D-8420-4520-AAEF-BE0A3744D13A}" name="Tabla6" displayName="Tabla6" ref="A3:E4" totalsRowShown="0" headerRowDxfId="41" dataDxfId="40" tableBorderDxfId="39">
  <autoFilter ref="A3:E4" xr:uid="{A4E6FF9D-8420-4520-AAEF-BE0A3744D13A}"/>
  <tableColumns count="5">
    <tableColumn id="1" xr3:uid="{8095F967-1CCC-455D-9A7A-2669B04AF12E}" name="FECHA SALAZON" dataDxfId="38"/>
    <tableColumn id="2" xr3:uid="{9E1C92DF-8B52-4616-82A7-B24DD2795650}" name="N° LOTE" dataDxfId="37"/>
    <tableColumn id="3" xr3:uid="{94498F67-4D78-43F6-86C0-2967C1482004}" name="UNIDADES" dataDxfId="36"/>
    <tableColumn id="4" xr3:uid="{FCC3F240-403E-44D0-BEA7-F5FB2948CC34}" name="KILOS" dataDxfId="35"/>
    <tableColumn id="5" xr3:uid="{3CB2134E-2828-40EB-9A0E-BAAA53EE19EB}" name="FECHA TERMINACION" dataDxfId="34">
      <calculatedColumnFormula>+A4+$E$2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0BF8AE-2DA7-4419-968E-FCD2889D0CE8}" name="Tabla7" displayName="Tabla7" ref="A3:E7" totalsRowShown="0" headerRowDxfId="33" dataDxfId="32" tableBorderDxfId="31">
  <autoFilter ref="A3:E7" xr:uid="{E70BF8AE-2DA7-4419-968E-FCD2889D0CE8}"/>
  <tableColumns count="5">
    <tableColumn id="1" xr3:uid="{5E72FB8D-1254-4E8D-9446-00C71A68F3B6}" name="FECHA SALAZON" dataDxfId="30"/>
    <tableColumn id="2" xr3:uid="{5EA7F545-78C8-40AA-ACF6-E7E26E7E00B3}" name="N° LOTE" dataDxfId="29"/>
    <tableColumn id="3" xr3:uid="{1B33CF51-429F-4B85-8609-965D98BF9B6A}" name="UNIDADES" dataDxfId="28"/>
    <tableColumn id="4" xr3:uid="{A96D48AC-C488-4426-98D8-239C83A6B753}" name="KILOS" dataDxfId="27"/>
    <tableColumn id="5" xr3:uid="{7EDC9A92-C330-4FEF-B9BC-9CBF6660DFEF}" name="FECHA TERMINACION" dataDxfId="26">
      <calculatedColumnFormula>+A4+$E$2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E65F59-2C08-4860-AE7F-6EBB4BE7AD15}" name="Tabla8" displayName="Tabla8" ref="A3:E5" totalsRowShown="0" headerRowDxfId="25" dataDxfId="24" tableBorderDxfId="23">
  <autoFilter ref="A3:E5" xr:uid="{11E65F59-2C08-4860-AE7F-6EBB4BE7AD15}"/>
  <tableColumns count="5">
    <tableColumn id="1" xr3:uid="{E49E6393-EB0D-4EBB-BE41-9259FBBDBF8E}" name="FECHA SALAZON" dataDxfId="22"/>
    <tableColumn id="2" xr3:uid="{74526E38-F7AE-4812-85BF-C48944F3BC35}" name="N° LOTE" dataDxfId="21"/>
    <tableColumn id="3" xr3:uid="{608246E2-511D-44B7-BCD0-18E974B17C49}" name="UNIDADES" dataDxfId="20"/>
    <tableColumn id="4" xr3:uid="{BA9716F9-56C4-43D7-8635-E3659426BBB2}" name="KILOS" dataDxfId="19"/>
    <tableColumn id="5" xr3:uid="{D392F03C-5B4C-427D-A148-A053A4B30871}" name="FECHA TERMINACION" dataDxfId="18">
      <calculatedColumnFormula>+A4+$E$2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40D0A9-3E05-42AA-BC35-0957ED493BBB}" name="Tabla9" displayName="Tabla9" ref="A3:E27" totalsRowShown="0" headerRowDxfId="17" dataDxfId="16" tableBorderDxfId="15">
  <autoFilter ref="A3:E27" xr:uid="{3C40D0A9-3E05-42AA-BC35-0957ED493BBB}"/>
  <tableColumns count="5">
    <tableColumn id="1" xr3:uid="{5E9BE612-58C6-4DC0-B1EE-69AA05A0B4AD}" name="FECHA SALAZON" dataDxfId="14"/>
    <tableColumn id="2" xr3:uid="{65AFB3AE-A20B-4ADA-BA53-0778B7920450}" name="N° LOTE" dataDxfId="13"/>
    <tableColumn id="3" xr3:uid="{B1ED6BC0-89AE-4280-B231-3B889D85E039}" name="UNIDADES" dataDxfId="12"/>
    <tableColumn id="4" xr3:uid="{E89CDCA3-58F8-4F3C-A6E8-AD74C095BDF3}" name="KILOS" dataDxfId="11"/>
    <tableColumn id="5" xr3:uid="{FE11545C-5892-4FF5-9F69-CD83EE14E9C7}" name="FECHA TERMINACION" dataDxfId="10">
      <calculatedColumnFormula>+A4+$E$2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7B2A14-7FAB-4F9D-B0EB-BEBD76034667}" name="Tabla2" displayName="Tabla2" ref="A23:G249" totalsRowShown="0" headerRowDxfId="9" dataDxfId="8" tableBorderDxfId="7">
  <autoFilter ref="A23:G249" xr:uid="{287B2A14-7FAB-4F9D-B0EB-BEBD76034667}"/>
  <tableColumns count="7">
    <tableColumn id="1" xr3:uid="{208BB7C0-575D-4B00-8DBE-006D1DDA2DC2}" name="Producto" dataDxfId="6"/>
    <tableColumn id="2" xr3:uid="{DFC7EC60-A2E1-4C2B-9F5F-049C8E21245E}" name="Lote" dataDxfId="5"/>
    <tableColumn id="3" xr3:uid="{683E82B8-B50D-4767-AA2F-7327EC16B03C}" name="Unidades" dataDxfId="4"/>
    <tableColumn id="4" xr3:uid="{103F51FD-4980-4385-8737-6C121234FAAE}" name="Kg Bruto" dataDxfId="3"/>
    <tableColumn id="5" xr3:uid="{1D36A2BF-02B3-4785-8579-39342D79E068}" name="Tara" dataDxfId="2"/>
    <tableColumn id="6" xr3:uid="{90ECC13E-B58B-4180-8A1A-8808CCF6A5BD}" name="Kg Neto" dataDxfId="1"/>
    <tableColumn id="7" xr3:uid="{64D76550-4432-4FE0-BDF8-015B9BCBB585}" name="Envasado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EAB209-88B5-4D78-A4B2-A60F22AA2BF0}" name="Tabla3" displayName="Tabla3" ref="A28:H88" totalsRowShown="0" headerRowDxfId="72" headerRowBorderDxfId="71" tableBorderDxfId="70">
  <autoFilter ref="A28:H88" xr:uid="{F7EAB209-88B5-4D78-A4B2-A60F22AA2BF0}"/>
  <tableColumns count="8">
    <tableColumn id="1" xr3:uid="{528263D6-B342-4C1E-9AAD-290C4FCC42AE}" name="Descripcion"/>
    <tableColumn id="2" xr3:uid="{1788ADC7-4CAF-43D2-B54D-D897767D18BD}" name="Cant"/>
    <tableColumn id="3" xr3:uid="{FB18D561-5FF9-4BA8-AC34-A751051597CB}" name="Uni"/>
    <tableColumn id="4" xr3:uid="{A0670F50-9BC4-42D5-90A5-4C85D96B8C88}" name="Kg"/>
    <tableColumn id="5" xr3:uid="{E5790F2A-908A-42B4-8168-CE837F87CC01}" name="Vencimiento"/>
    <tableColumn id="6" xr3:uid="{F9951795-E311-4B11-BDD6-58B2D188D77B}" name="Lote"/>
    <tableColumn id="7" xr3:uid="{8D77F107-262D-4679-A5D7-62E0B04F7C4D}" name="VidaUtil"/>
    <tableColumn id="8" xr3:uid="{625AAD9A-2025-4D13-BA7F-2AC35E9B33BB}" name="VidaUtilPor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37DB-42DD-42D5-AF85-9208F01991BE}">
  <dimension ref="A1:G9"/>
  <sheetViews>
    <sheetView workbookViewId="0">
      <selection activeCell="C5" sqref="C5:C9"/>
    </sheetView>
  </sheetViews>
  <sheetFormatPr baseColWidth="10" defaultRowHeight="14.4" x14ac:dyDescent="0.3"/>
  <cols>
    <col min="1" max="1" width="23.6640625" customWidth="1"/>
    <col min="2" max="2" width="12.6640625" customWidth="1"/>
    <col min="3" max="3" width="16.109375" customWidth="1"/>
    <col min="4" max="4" width="10.33203125" customWidth="1"/>
    <col min="5" max="5" width="29.6640625" customWidth="1"/>
    <col min="6" max="6" width="19.88671875" bestFit="1" customWidth="1"/>
    <col min="7" max="7" width="31.88671875" bestFit="1" customWidth="1"/>
  </cols>
  <sheetData>
    <row r="1" spans="1:7" ht="31.2" x14ac:dyDescent="0.6">
      <c r="A1" s="72" t="s">
        <v>399</v>
      </c>
      <c r="B1" s="72"/>
      <c r="C1" s="72"/>
      <c r="D1" s="72"/>
      <c r="E1" s="72"/>
    </row>
    <row r="2" spans="1:7" ht="31.8" thickBot="1" x14ac:dyDescent="0.65">
      <c r="A2" s="35"/>
      <c r="B2" s="35"/>
      <c r="C2" s="35"/>
      <c r="D2" s="35"/>
      <c r="E2" s="35" t="s">
        <v>293</v>
      </c>
      <c r="F2" s="35" t="s">
        <v>294</v>
      </c>
      <c r="G2" s="35" t="s">
        <v>295</v>
      </c>
    </row>
    <row r="3" spans="1:7" ht="31.8" thickTop="1" x14ac:dyDescent="0.6">
      <c r="A3" s="35"/>
      <c r="B3" s="73" t="s">
        <v>260</v>
      </c>
      <c r="C3" s="73"/>
      <c r="D3" s="73"/>
      <c r="E3" s="36">
        <v>365</v>
      </c>
      <c r="F3" s="36">
        <v>395</v>
      </c>
      <c r="G3" s="36">
        <f>+F3+30</f>
        <v>425</v>
      </c>
    </row>
    <row r="4" spans="1:7" ht="21.6" thickBot="1" x14ac:dyDescent="0.45">
      <c r="A4" s="42" t="s">
        <v>261</v>
      </c>
      <c r="B4" s="43" t="s">
        <v>262</v>
      </c>
      <c r="C4" s="43" t="s">
        <v>85</v>
      </c>
      <c r="D4" s="43" t="s">
        <v>263</v>
      </c>
      <c r="E4" s="44" t="s">
        <v>264</v>
      </c>
      <c r="F4" s="45" t="s">
        <v>398</v>
      </c>
    </row>
    <row r="5" spans="1:7" ht="18" x14ac:dyDescent="0.3">
      <c r="A5" s="46">
        <v>46126</v>
      </c>
      <c r="B5" s="47" t="s">
        <v>400</v>
      </c>
      <c r="C5" s="47">
        <v>254</v>
      </c>
      <c r="D5" s="47">
        <v>2759</v>
      </c>
      <c r="E5" s="37">
        <f>+A5+$E$3</f>
        <v>46491</v>
      </c>
      <c r="F5" s="47" t="s">
        <v>297</v>
      </c>
    </row>
    <row r="6" spans="1:7" ht="18" x14ac:dyDescent="0.3">
      <c r="A6" s="46">
        <v>46126</v>
      </c>
      <c r="B6" s="47" t="s">
        <v>401</v>
      </c>
      <c r="C6" s="47">
        <v>498</v>
      </c>
      <c r="D6" s="47">
        <v>6000</v>
      </c>
      <c r="E6" s="37">
        <f>+A6+$E$3</f>
        <v>46491</v>
      </c>
      <c r="F6" s="47" t="s">
        <v>299</v>
      </c>
    </row>
    <row r="7" spans="1:7" ht="18" x14ac:dyDescent="0.3">
      <c r="A7" s="46">
        <v>46157</v>
      </c>
      <c r="B7" s="47" t="s">
        <v>402</v>
      </c>
      <c r="C7" s="47">
        <v>92</v>
      </c>
      <c r="D7" s="47">
        <v>1007</v>
      </c>
      <c r="E7" s="37">
        <f>+A7+$E$3</f>
        <v>46522</v>
      </c>
      <c r="F7" s="47" t="s">
        <v>297</v>
      </c>
    </row>
    <row r="8" spans="1:7" ht="18" x14ac:dyDescent="0.3">
      <c r="A8" s="46">
        <v>46157</v>
      </c>
      <c r="B8" s="47" t="s">
        <v>403</v>
      </c>
      <c r="C8" s="47">
        <v>223</v>
      </c>
      <c r="D8" s="47">
        <v>2679</v>
      </c>
      <c r="E8" s="37">
        <f>+A8+$E$3</f>
        <v>46522</v>
      </c>
      <c r="F8" s="47" t="s">
        <v>299</v>
      </c>
    </row>
    <row r="9" spans="1:7" ht="18" x14ac:dyDescent="0.3">
      <c r="A9" s="46">
        <v>46157</v>
      </c>
      <c r="B9" s="47" t="s">
        <v>404</v>
      </c>
      <c r="C9" s="47">
        <v>52</v>
      </c>
      <c r="D9" s="47">
        <v>705</v>
      </c>
      <c r="E9" s="46">
        <f>+A9+$E$3</f>
        <v>46522</v>
      </c>
      <c r="F9" s="47" t="s">
        <v>315</v>
      </c>
    </row>
  </sheetData>
  <mergeCells count="2">
    <mergeCell ref="A1:E1"/>
    <mergeCell ref="B3:D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A5C7-FE0F-4598-8B3D-9C1C56169240}">
  <dimension ref="A1:G106"/>
  <sheetViews>
    <sheetView topLeftCell="A3" workbookViewId="0">
      <selection activeCell="C106" sqref="C5:C106"/>
    </sheetView>
  </sheetViews>
  <sheetFormatPr baseColWidth="10" defaultRowHeight="14.4" x14ac:dyDescent="0.3"/>
  <cols>
    <col min="1" max="1" width="23.6640625" customWidth="1"/>
    <col min="2" max="2" width="12.6640625" customWidth="1"/>
    <col min="3" max="3" width="16.109375" customWidth="1"/>
    <col min="4" max="4" width="10.33203125" customWidth="1"/>
    <col min="5" max="5" width="29.6640625" customWidth="1"/>
    <col min="6" max="6" width="19.88671875" bestFit="1" customWidth="1"/>
    <col min="7" max="7" width="31.88671875" bestFit="1" customWidth="1"/>
  </cols>
  <sheetData>
    <row r="1" spans="1:7" ht="31.2" x14ac:dyDescent="0.6">
      <c r="A1" s="72" t="s">
        <v>292</v>
      </c>
      <c r="B1" s="72"/>
      <c r="C1" s="72"/>
      <c r="D1" s="72"/>
      <c r="E1" s="72"/>
    </row>
    <row r="2" spans="1:7" ht="31.8" thickBot="1" x14ac:dyDescent="0.65">
      <c r="A2" s="35"/>
      <c r="B2" s="35"/>
      <c r="C2" s="35"/>
      <c r="D2" s="35"/>
      <c r="E2" s="35" t="s">
        <v>293</v>
      </c>
      <c r="F2" s="35" t="s">
        <v>294</v>
      </c>
      <c r="G2" s="35" t="s">
        <v>295</v>
      </c>
    </row>
    <row r="3" spans="1:7" ht="31.8" thickTop="1" x14ac:dyDescent="0.6">
      <c r="A3" s="35"/>
      <c r="B3" s="73" t="s">
        <v>260</v>
      </c>
      <c r="C3" s="73"/>
      <c r="D3" s="73"/>
      <c r="E3" s="36">
        <v>365</v>
      </c>
      <c r="F3" s="36">
        <v>395</v>
      </c>
      <c r="G3" s="36">
        <f>+F3+30</f>
        <v>425</v>
      </c>
    </row>
    <row r="4" spans="1:7" ht="21.6" thickBot="1" x14ac:dyDescent="0.45">
      <c r="A4" s="42" t="s">
        <v>261</v>
      </c>
      <c r="B4" s="43" t="s">
        <v>262</v>
      </c>
      <c r="C4" s="43" t="s">
        <v>85</v>
      </c>
      <c r="D4" s="43" t="s">
        <v>263</v>
      </c>
      <c r="E4" s="44" t="s">
        <v>264</v>
      </c>
      <c r="F4" s="45" t="s">
        <v>398</v>
      </c>
    </row>
    <row r="5" spans="1:7" ht="18" x14ac:dyDescent="0.3">
      <c r="A5" s="40">
        <v>45825</v>
      </c>
      <c r="B5" s="41" t="s">
        <v>296</v>
      </c>
      <c r="C5" s="41">
        <v>77</v>
      </c>
      <c r="D5" s="41">
        <v>844.5</v>
      </c>
      <c r="E5" s="40">
        <f>IF(F5="CHICO",A5+365,IF(F5="GRANDE",A5+395,IF(F5="EXTRAGRANDE",A5+425,"")))</f>
        <v>46190</v>
      </c>
      <c r="F5" s="41" t="s">
        <v>297</v>
      </c>
    </row>
    <row r="6" spans="1:7" ht="18" x14ac:dyDescent="0.3">
      <c r="A6" s="37">
        <v>45825</v>
      </c>
      <c r="B6" s="38" t="s">
        <v>298</v>
      </c>
      <c r="C6" s="38">
        <v>120</v>
      </c>
      <c r="D6" s="38">
        <v>1449.5</v>
      </c>
      <c r="E6" s="40">
        <f t="shared" ref="E6:E69" si="0">IF(F6="CHICO",A6+365,IF(F6="GRANDE",A6+395,IF(F6="EXTRAGRANDE",A6+425,"")))</f>
        <v>46220</v>
      </c>
      <c r="F6" s="38" t="s">
        <v>299</v>
      </c>
    </row>
    <row r="7" spans="1:7" ht="18" x14ac:dyDescent="0.3">
      <c r="A7" s="37">
        <v>45833</v>
      </c>
      <c r="B7" s="38" t="s">
        <v>300</v>
      </c>
      <c r="C7" s="38">
        <v>113</v>
      </c>
      <c r="D7" s="38">
        <v>1240.5</v>
      </c>
      <c r="E7" s="40">
        <f t="shared" si="0"/>
        <v>46198</v>
      </c>
      <c r="F7" s="38" t="s">
        <v>297</v>
      </c>
    </row>
    <row r="8" spans="1:7" ht="18" x14ac:dyDescent="0.3">
      <c r="A8" s="37">
        <v>45833</v>
      </c>
      <c r="B8" s="38" t="s">
        <v>301</v>
      </c>
      <c r="C8" s="38">
        <v>217</v>
      </c>
      <c r="D8" s="38">
        <v>2685.5</v>
      </c>
      <c r="E8" s="40">
        <f t="shared" si="0"/>
        <v>46228</v>
      </c>
      <c r="F8" s="38" t="s">
        <v>299</v>
      </c>
    </row>
    <row r="9" spans="1:7" ht="18" x14ac:dyDescent="0.3">
      <c r="A9" s="37">
        <v>45839</v>
      </c>
      <c r="B9" s="38" t="s">
        <v>302</v>
      </c>
      <c r="C9" s="38">
        <v>195</v>
      </c>
      <c r="D9" s="38">
        <v>2134</v>
      </c>
      <c r="E9" s="40">
        <f t="shared" si="0"/>
        <v>46204</v>
      </c>
      <c r="F9" s="38" t="s">
        <v>297</v>
      </c>
    </row>
    <row r="10" spans="1:7" ht="18" x14ac:dyDescent="0.3">
      <c r="A10" s="37">
        <v>45839</v>
      </c>
      <c r="B10" s="38" t="s">
        <v>303</v>
      </c>
      <c r="C10" s="38">
        <v>508</v>
      </c>
      <c r="D10" s="38">
        <v>6247.5</v>
      </c>
      <c r="E10" s="40">
        <f t="shared" si="0"/>
        <v>46234</v>
      </c>
      <c r="F10" s="38" t="s">
        <v>299</v>
      </c>
    </row>
    <row r="11" spans="1:7" ht="18" x14ac:dyDescent="0.3">
      <c r="A11" s="37">
        <v>45847</v>
      </c>
      <c r="B11" s="38" t="s">
        <v>304</v>
      </c>
      <c r="C11" s="38">
        <v>260</v>
      </c>
      <c r="D11" s="38">
        <v>2810</v>
      </c>
      <c r="E11" s="40">
        <f t="shared" si="0"/>
        <v>46212</v>
      </c>
      <c r="F11" s="38" t="s">
        <v>297</v>
      </c>
    </row>
    <row r="12" spans="1:7" ht="18" x14ac:dyDescent="0.3">
      <c r="A12" s="37">
        <v>45847</v>
      </c>
      <c r="B12" s="38" t="s">
        <v>305</v>
      </c>
      <c r="C12" s="38">
        <v>488</v>
      </c>
      <c r="D12" s="38">
        <v>5968</v>
      </c>
      <c r="E12" s="40">
        <f t="shared" si="0"/>
        <v>46242</v>
      </c>
      <c r="F12" s="38" t="s">
        <v>299</v>
      </c>
    </row>
    <row r="13" spans="1:7" ht="18" x14ac:dyDescent="0.3">
      <c r="A13" s="37">
        <v>45853</v>
      </c>
      <c r="B13" s="38" t="s">
        <v>306</v>
      </c>
      <c r="C13" s="38">
        <v>248</v>
      </c>
      <c r="D13" s="38">
        <v>2657.5</v>
      </c>
      <c r="E13" s="40">
        <f t="shared" si="0"/>
        <v>46218</v>
      </c>
      <c r="F13" s="38" t="s">
        <v>297</v>
      </c>
    </row>
    <row r="14" spans="1:7" ht="18" x14ac:dyDescent="0.3">
      <c r="A14" s="37">
        <v>45853</v>
      </c>
      <c r="B14" s="38" t="s">
        <v>307</v>
      </c>
      <c r="C14" s="38">
        <v>482</v>
      </c>
      <c r="D14" s="38">
        <v>587.6</v>
      </c>
      <c r="E14" s="40">
        <f t="shared" si="0"/>
        <v>46248</v>
      </c>
      <c r="F14" s="38" t="s">
        <v>299</v>
      </c>
    </row>
    <row r="15" spans="1:7" ht="18" x14ac:dyDescent="0.3">
      <c r="A15" s="37">
        <v>45860</v>
      </c>
      <c r="B15" s="38" t="s">
        <v>308</v>
      </c>
      <c r="C15" s="38">
        <v>219</v>
      </c>
      <c r="D15" s="38">
        <v>2398</v>
      </c>
      <c r="E15" s="40">
        <f t="shared" si="0"/>
        <v>46225</v>
      </c>
      <c r="F15" s="38" t="s">
        <v>297</v>
      </c>
    </row>
    <row r="16" spans="1:7" ht="18" x14ac:dyDescent="0.3">
      <c r="A16" s="37">
        <v>45860</v>
      </c>
      <c r="B16" s="38" t="s">
        <v>309</v>
      </c>
      <c r="C16" s="38">
        <v>386</v>
      </c>
      <c r="D16" s="38">
        <v>4675.5</v>
      </c>
      <c r="E16" s="40">
        <f t="shared" si="0"/>
        <v>46255</v>
      </c>
      <c r="F16" s="38" t="s">
        <v>299</v>
      </c>
    </row>
    <row r="17" spans="1:6" ht="18" x14ac:dyDescent="0.3">
      <c r="A17" s="37">
        <v>45867</v>
      </c>
      <c r="B17" s="38" t="s">
        <v>310</v>
      </c>
      <c r="C17" s="38">
        <v>243</v>
      </c>
      <c r="D17" s="38">
        <v>2535</v>
      </c>
      <c r="E17" s="40">
        <f t="shared" si="0"/>
        <v>46232</v>
      </c>
      <c r="F17" s="38" t="s">
        <v>297</v>
      </c>
    </row>
    <row r="18" spans="1:6" ht="18" x14ac:dyDescent="0.3">
      <c r="A18" s="37">
        <v>45867</v>
      </c>
      <c r="B18" s="38" t="s">
        <v>311</v>
      </c>
      <c r="C18" s="38">
        <v>332</v>
      </c>
      <c r="D18" s="38">
        <v>3942</v>
      </c>
      <c r="E18" s="40">
        <f t="shared" si="0"/>
        <v>46262</v>
      </c>
      <c r="F18" s="38" t="s">
        <v>299</v>
      </c>
    </row>
    <row r="19" spans="1:6" ht="18" x14ac:dyDescent="0.3">
      <c r="A19" s="37">
        <v>45874</v>
      </c>
      <c r="B19" s="38" t="s">
        <v>312</v>
      </c>
      <c r="C19" s="38">
        <v>254</v>
      </c>
      <c r="D19" s="38">
        <v>2735.5</v>
      </c>
      <c r="E19" s="40">
        <f t="shared" si="0"/>
        <v>46239</v>
      </c>
      <c r="F19" s="38" t="s">
        <v>297</v>
      </c>
    </row>
    <row r="20" spans="1:6" ht="18" x14ac:dyDescent="0.3">
      <c r="A20" s="37">
        <v>45874</v>
      </c>
      <c r="B20" s="38" t="s">
        <v>313</v>
      </c>
      <c r="C20" s="38">
        <v>371</v>
      </c>
      <c r="D20" s="38">
        <v>4546.5</v>
      </c>
      <c r="E20" s="40">
        <f t="shared" si="0"/>
        <v>46269</v>
      </c>
      <c r="F20" s="38" t="s">
        <v>299</v>
      </c>
    </row>
    <row r="21" spans="1:6" ht="18" x14ac:dyDescent="0.3">
      <c r="A21" s="37">
        <v>45874</v>
      </c>
      <c r="B21" s="38" t="s">
        <v>314</v>
      </c>
      <c r="C21" s="38">
        <v>92</v>
      </c>
      <c r="D21" s="38">
        <v>1268.5</v>
      </c>
      <c r="E21" s="40">
        <f t="shared" si="0"/>
        <v>46299</v>
      </c>
      <c r="F21" s="38" t="s">
        <v>315</v>
      </c>
    </row>
    <row r="22" spans="1:6" ht="18" x14ac:dyDescent="0.3">
      <c r="A22" s="37">
        <v>45881</v>
      </c>
      <c r="B22" s="38" t="s">
        <v>316</v>
      </c>
      <c r="C22" s="38">
        <v>133</v>
      </c>
      <c r="D22" s="38">
        <v>1493</v>
      </c>
      <c r="E22" s="40">
        <f t="shared" si="0"/>
        <v>46246</v>
      </c>
      <c r="F22" s="38" t="s">
        <v>297</v>
      </c>
    </row>
    <row r="23" spans="1:6" ht="18" x14ac:dyDescent="0.3">
      <c r="A23" s="37">
        <v>45881</v>
      </c>
      <c r="B23" s="38" t="s">
        <v>317</v>
      </c>
      <c r="C23" s="38">
        <v>442</v>
      </c>
      <c r="D23" s="38">
        <v>5597</v>
      </c>
      <c r="E23" s="40">
        <f t="shared" si="0"/>
        <v>46276</v>
      </c>
      <c r="F23" s="38" t="s">
        <v>299</v>
      </c>
    </row>
    <row r="24" spans="1:6" ht="18" x14ac:dyDescent="0.3">
      <c r="A24" s="37">
        <v>45881</v>
      </c>
      <c r="B24" s="38" t="s">
        <v>318</v>
      </c>
      <c r="C24" s="38">
        <v>143</v>
      </c>
      <c r="D24" s="38">
        <v>1987.5</v>
      </c>
      <c r="E24" s="40">
        <f t="shared" si="0"/>
        <v>46306</v>
      </c>
      <c r="F24" s="38" t="s">
        <v>315</v>
      </c>
    </row>
    <row r="25" spans="1:6" ht="18" x14ac:dyDescent="0.3">
      <c r="A25" s="37">
        <v>45888</v>
      </c>
      <c r="B25" s="38" t="s">
        <v>319</v>
      </c>
      <c r="C25" s="38">
        <v>360</v>
      </c>
      <c r="D25" s="38">
        <v>4049.5</v>
      </c>
      <c r="E25" s="40">
        <f t="shared" si="0"/>
        <v>46253</v>
      </c>
      <c r="F25" s="38" t="s">
        <v>297</v>
      </c>
    </row>
    <row r="26" spans="1:6" ht="18" x14ac:dyDescent="0.3">
      <c r="A26" s="37">
        <v>45888</v>
      </c>
      <c r="B26" s="38" t="s">
        <v>320</v>
      </c>
      <c r="C26" s="38">
        <v>244</v>
      </c>
      <c r="D26" s="38">
        <v>3557.5</v>
      </c>
      <c r="E26" s="40">
        <f t="shared" si="0"/>
        <v>46283</v>
      </c>
      <c r="F26" s="38" t="s">
        <v>299</v>
      </c>
    </row>
    <row r="27" spans="1:6" ht="18" x14ac:dyDescent="0.3">
      <c r="A27" s="37">
        <v>45888</v>
      </c>
      <c r="B27" s="38" t="s">
        <v>321</v>
      </c>
      <c r="C27" s="38">
        <v>92</v>
      </c>
      <c r="D27" s="38">
        <v>1297.5</v>
      </c>
      <c r="E27" s="40">
        <f t="shared" si="0"/>
        <v>46313</v>
      </c>
      <c r="F27" s="38" t="s">
        <v>315</v>
      </c>
    </row>
    <row r="28" spans="1:6" ht="18" x14ac:dyDescent="0.3">
      <c r="A28" s="37">
        <v>45895</v>
      </c>
      <c r="B28" s="38" t="s">
        <v>322</v>
      </c>
      <c r="C28" s="38">
        <v>197</v>
      </c>
      <c r="D28" s="38">
        <v>2201.5</v>
      </c>
      <c r="E28" s="40">
        <f t="shared" si="0"/>
        <v>46260</v>
      </c>
      <c r="F28" s="38" t="s">
        <v>297</v>
      </c>
    </row>
    <row r="29" spans="1:6" ht="18" x14ac:dyDescent="0.3">
      <c r="A29" s="37">
        <v>45895</v>
      </c>
      <c r="B29" s="38" t="s">
        <v>323</v>
      </c>
      <c r="C29" s="38">
        <v>172</v>
      </c>
      <c r="D29" s="38">
        <v>2156</v>
      </c>
      <c r="E29" s="40">
        <f t="shared" si="0"/>
        <v>46290</v>
      </c>
      <c r="F29" s="38" t="s">
        <v>299</v>
      </c>
    </row>
    <row r="30" spans="1:6" ht="18" x14ac:dyDescent="0.3">
      <c r="A30" s="37">
        <v>45895</v>
      </c>
      <c r="B30" s="38" t="s">
        <v>324</v>
      </c>
      <c r="C30" s="38">
        <v>54</v>
      </c>
      <c r="D30" s="38">
        <v>770.5</v>
      </c>
      <c r="E30" s="40">
        <f t="shared" si="0"/>
        <v>46320</v>
      </c>
      <c r="F30" s="38" t="s">
        <v>315</v>
      </c>
    </row>
    <row r="31" spans="1:6" ht="18" x14ac:dyDescent="0.3">
      <c r="A31" s="37">
        <v>45939</v>
      </c>
      <c r="B31" s="38" t="s">
        <v>325</v>
      </c>
      <c r="C31" s="38">
        <v>60</v>
      </c>
      <c r="D31" s="38">
        <v>623</v>
      </c>
      <c r="E31" s="40">
        <f t="shared" si="0"/>
        <v>46304</v>
      </c>
      <c r="F31" s="38" t="s">
        <v>297</v>
      </c>
    </row>
    <row r="32" spans="1:6" ht="18" x14ac:dyDescent="0.3">
      <c r="A32" s="37">
        <v>45939</v>
      </c>
      <c r="B32" s="38" t="s">
        <v>326</v>
      </c>
      <c r="C32" s="38">
        <v>422</v>
      </c>
      <c r="D32" s="38">
        <v>4889</v>
      </c>
      <c r="E32" s="40">
        <f t="shared" si="0"/>
        <v>46334</v>
      </c>
      <c r="F32" s="38" t="s">
        <v>299</v>
      </c>
    </row>
    <row r="33" spans="1:6" ht="18" x14ac:dyDescent="0.3">
      <c r="A33" s="37">
        <v>45939</v>
      </c>
      <c r="B33" s="38" t="s">
        <v>327</v>
      </c>
      <c r="C33" s="38">
        <v>335</v>
      </c>
      <c r="D33" s="38">
        <v>4213</v>
      </c>
      <c r="E33" s="40">
        <f t="shared" si="0"/>
        <v>46364</v>
      </c>
      <c r="F33" s="38" t="s">
        <v>315</v>
      </c>
    </row>
    <row r="34" spans="1:6" ht="18" x14ac:dyDescent="0.3">
      <c r="A34" s="37">
        <v>45950</v>
      </c>
      <c r="B34" s="38" t="s">
        <v>328</v>
      </c>
      <c r="C34" s="38">
        <v>251</v>
      </c>
      <c r="D34" s="38">
        <v>2873.5</v>
      </c>
      <c r="E34" s="40">
        <f t="shared" si="0"/>
        <v>46345</v>
      </c>
      <c r="F34" s="38" t="s">
        <v>299</v>
      </c>
    </row>
    <row r="35" spans="1:6" ht="18" x14ac:dyDescent="0.3">
      <c r="A35" s="37">
        <v>45950</v>
      </c>
      <c r="B35" s="38" t="s">
        <v>329</v>
      </c>
      <c r="C35" s="38">
        <v>100</v>
      </c>
      <c r="D35" s="38">
        <v>1277</v>
      </c>
      <c r="E35" s="40">
        <f t="shared" si="0"/>
        <v>46375</v>
      </c>
      <c r="F35" s="38" t="s">
        <v>315</v>
      </c>
    </row>
    <row r="36" spans="1:6" ht="18" x14ac:dyDescent="0.3">
      <c r="A36" s="37">
        <v>45957</v>
      </c>
      <c r="B36" s="38" t="s">
        <v>330</v>
      </c>
      <c r="C36" s="38">
        <v>109</v>
      </c>
      <c r="D36" s="38">
        <v>1203</v>
      </c>
      <c r="E36" s="40">
        <f t="shared" si="0"/>
        <v>46322</v>
      </c>
      <c r="F36" s="38" t="s">
        <v>297</v>
      </c>
    </row>
    <row r="37" spans="1:6" ht="18" x14ac:dyDescent="0.3">
      <c r="A37" s="37">
        <v>45957</v>
      </c>
      <c r="B37" s="38" t="s">
        <v>331</v>
      </c>
      <c r="C37" s="38">
        <v>282</v>
      </c>
      <c r="D37" s="38">
        <v>3377</v>
      </c>
      <c r="E37" s="40">
        <f t="shared" si="0"/>
        <v>46352</v>
      </c>
      <c r="F37" s="38" t="s">
        <v>299</v>
      </c>
    </row>
    <row r="38" spans="1:6" ht="18" x14ac:dyDescent="0.3">
      <c r="A38" s="37">
        <v>45957</v>
      </c>
      <c r="B38" s="38" t="s">
        <v>332</v>
      </c>
      <c r="C38" s="38">
        <v>37</v>
      </c>
      <c r="D38" s="38">
        <v>501</v>
      </c>
      <c r="E38" s="40">
        <f t="shared" si="0"/>
        <v>46382</v>
      </c>
      <c r="F38" s="38" t="s">
        <v>315</v>
      </c>
    </row>
    <row r="39" spans="1:6" ht="18" x14ac:dyDescent="0.3">
      <c r="A39" s="37">
        <v>45965</v>
      </c>
      <c r="B39" s="38" t="s">
        <v>333</v>
      </c>
      <c r="C39" s="38">
        <v>109</v>
      </c>
      <c r="D39" s="38">
        <v>1198</v>
      </c>
      <c r="E39" s="40">
        <f t="shared" si="0"/>
        <v>46330</v>
      </c>
      <c r="F39" s="38" t="s">
        <v>297</v>
      </c>
    </row>
    <row r="40" spans="1:6" ht="18" x14ac:dyDescent="0.3">
      <c r="A40" s="37">
        <v>45965</v>
      </c>
      <c r="B40" s="38" t="s">
        <v>334</v>
      </c>
      <c r="C40" s="38">
        <v>297</v>
      </c>
      <c r="D40" s="38">
        <v>3626</v>
      </c>
      <c r="E40" s="40">
        <f t="shared" si="0"/>
        <v>46360</v>
      </c>
      <c r="F40" s="38" t="s">
        <v>299</v>
      </c>
    </row>
    <row r="41" spans="1:6" ht="18" x14ac:dyDescent="0.3">
      <c r="A41" s="37">
        <v>45965</v>
      </c>
      <c r="B41" s="38" t="s">
        <v>335</v>
      </c>
      <c r="C41" s="38">
        <v>133</v>
      </c>
      <c r="D41" s="38">
        <v>1793</v>
      </c>
      <c r="E41" s="40">
        <f t="shared" si="0"/>
        <v>46390</v>
      </c>
      <c r="F41" s="38" t="s">
        <v>315</v>
      </c>
    </row>
    <row r="42" spans="1:6" ht="18" x14ac:dyDescent="0.3">
      <c r="A42" s="37">
        <v>45972</v>
      </c>
      <c r="B42" s="38" t="s">
        <v>336</v>
      </c>
      <c r="C42" s="38">
        <v>104</v>
      </c>
      <c r="D42" s="38">
        <v>1146</v>
      </c>
      <c r="E42" s="40">
        <f t="shared" si="0"/>
        <v>46337</v>
      </c>
      <c r="F42" s="38" t="s">
        <v>297</v>
      </c>
    </row>
    <row r="43" spans="1:6" ht="18" x14ac:dyDescent="0.3">
      <c r="A43" s="37">
        <v>45972</v>
      </c>
      <c r="B43" s="38" t="s">
        <v>337</v>
      </c>
      <c r="C43" s="38">
        <v>323</v>
      </c>
      <c r="D43" s="38">
        <v>3908.5</v>
      </c>
      <c r="E43" s="40">
        <f t="shared" si="0"/>
        <v>46367</v>
      </c>
      <c r="F43" s="38" t="s">
        <v>299</v>
      </c>
    </row>
    <row r="44" spans="1:6" ht="18" x14ac:dyDescent="0.3">
      <c r="A44" s="37">
        <v>45972</v>
      </c>
      <c r="B44" s="38" t="s">
        <v>338</v>
      </c>
      <c r="C44" s="38">
        <v>63</v>
      </c>
      <c r="D44" s="38">
        <v>851</v>
      </c>
      <c r="E44" s="40">
        <f t="shared" si="0"/>
        <v>46397</v>
      </c>
      <c r="F44" s="38" t="s">
        <v>315</v>
      </c>
    </row>
    <row r="45" spans="1:6" ht="18" x14ac:dyDescent="0.3">
      <c r="A45" s="37">
        <v>45979</v>
      </c>
      <c r="B45" s="38" t="s">
        <v>339</v>
      </c>
      <c r="C45" s="38">
        <v>76</v>
      </c>
      <c r="D45" s="38">
        <v>850</v>
      </c>
      <c r="E45" s="40">
        <f t="shared" si="0"/>
        <v>46344</v>
      </c>
      <c r="F45" s="38" t="s">
        <v>297</v>
      </c>
    </row>
    <row r="46" spans="1:6" ht="18" x14ac:dyDescent="0.3">
      <c r="A46" s="37">
        <v>45979</v>
      </c>
      <c r="B46" s="38" t="s">
        <v>340</v>
      </c>
      <c r="C46" s="38">
        <v>282</v>
      </c>
      <c r="D46" s="38">
        <v>3415</v>
      </c>
      <c r="E46" s="40">
        <f t="shared" si="0"/>
        <v>46374</v>
      </c>
      <c r="F46" s="38" t="s">
        <v>299</v>
      </c>
    </row>
    <row r="47" spans="1:6" ht="18" x14ac:dyDescent="0.3">
      <c r="A47" s="37">
        <v>45979</v>
      </c>
      <c r="B47" s="38" t="s">
        <v>341</v>
      </c>
      <c r="C47" s="38">
        <v>79</v>
      </c>
      <c r="D47" s="38">
        <v>1057</v>
      </c>
      <c r="E47" s="40">
        <f t="shared" si="0"/>
        <v>46404</v>
      </c>
      <c r="F47" s="38" t="s">
        <v>315</v>
      </c>
    </row>
    <row r="48" spans="1:6" ht="18" x14ac:dyDescent="0.3">
      <c r="A48" s="37">
        <v>45986</v>
      </c>
      <c r="B48" s="38" t="s">
        <v>342</v>
      </c>
      <c r="C48" s="38">
        <v>28</v>
      </c>
      <c r="D48" s="38">
        <v>315</v>
      </c>
      <c r="E48" s="40">
        <f t="shared" si="0"/>
        <v>46351</v>
      </c>
      <c r="F48" s="38" t="s">
        <v>297</v>
      </c>
    </row>
    <row r="49" spans="1:6" ht="18" x14ac:dyDescent="0.3">
      <c r="A49" s="37">
        <v>45986</v>
      </c>
      <c r="B49" s="38" t="s">
        <v>343</v>
      </c>
      <c r="C49" s="38">
        <v>225</v>
      </c>
      <c r="D49" s="38">
        <v>2748</v>
      </c>
      <c r="E49" s="40">
        <f t="shared" si="0"/>
        <v>46381</v>
      </c>
      <c r="F49" s="38" t="s">
        <v>299</v>
      </c>
    </row>
    <row r="50" spans="1:6" ht="18" x14ac:dyDescent="0.3">
      <c r="A50" s="37">
        <v>45986</v>
      </c>
      <c r="B50" s="38" t="s">
        <v>344</v>
      </c>
      <c r="C50" s="38">
        <v>45</v>
      </c>
      <c r="D50" s="38">
        <v>602</v>
      </c>
      <c r="E50" s="40">
        <f t="shared" si="0"/>
        <v>46411</v>
      </c>
      <c r="F50" s="38" t="s">
        <v>315</v>
      </c>
    </row>
    <row r="51" spans="1:6" ht="18" x14ac:dyDescent="0.3">
      <c r="A51" s="37">
        <v>45992</v>
      </c>
      <c r="B51" s="38" t="s">
        <v>345</v>
      </c>
      <c r="C51" s="38">
        <v>77</v>
      </c>
      <c r="D51" s="38">
        <v>854</v>
      </c>
      <c r="E51" s="40">
        <f t="shared" si="0"/>
        <v>46357</v>
      </c>
      <c r="F51" s="38" t="s">
        <v>297</v>
      </c>
    </row>
    <row r="52" spans="1:6" ht="18" x14ac:dyDescent="0.3">
      <c r="A52" s="37">
        <v>45992</v>
      </c>
      <c r="B52" s="38" t="s">
        <v>346</v>
      </c>
      <c r="C52" s="38">
        <v>373</v>
      </c>
      <c r="D52" s="38">
        <v>4549.5</v>
      </c>
      <c r="E52" s="40">
        <f t="shared" si="0"/>
        <v>46387</v>
      </c>
      <c r="F52" s="38" t="s">
        <v>299</v>
      </c>
    </row>
    <row r="53" spans="1:6" ht="18" x14ac:dyDescent="0.3">
      <c r="A53" s="37">
        <v>45992</v>
      </c>
      <c r="B53" s="38" t="s">
        <v>347</v>
      </c>
      <c r="C53" s="38">
        <v>142</v>
      </c>
      <c r="D53" s="38">
        <v>1932</v>
      </c>
      <c r="E53" s="40">
        <f t="shared" si="0"/>
        <v>46417</v>
      </c>
      <c r="F53" s="38" t="s">
        <v>315</v>
      </c>
    </row>
    <row r="54" spans="1:6" ht="18" x14ac:dyDescent="0.3">
      <c r="A54" s="37">
        <v>45999</v>
      </c>
      <c r="B54" s="38" t="s">
        <v>348</v>
      </c>
      <c r="C54" s="38">
        <v>123</v>
      </c>
      <c r="D54" s="38">
        <v>1378</v>
      </c>
      <c r="E54" s="40">
        <f t="shared" si="0"/>
        <v>46364</v>
      </c>
      <c r="F54" s="38" t="s">
        <v>297</v>
      </c>
    </row>
    <row r="55" spans="1:6" ht="18" x14ac:dyDescent="0.3">
      <c r="A55" s="37">
        <v>45999</v>
      </c>
      <c r="B55" s="38" t="s">
        <v>349</v>
      </c>
      <c r="C55" s="38">
        <v>367</v>
      </c>
      <c r="D55" s="38">
        <v>4459.5</v>
      </c>
      <c r="E55" s="40">
        <f t="shared" si="0"/>
        <v>46394</v>
      </c>
      <c r="F55" s="38" t="s">
        <v>299</v>
      </c>
    </row>
    <row r="56" spans="1:6" ht="18" x14ac:dyDescent="0.3">
      <c r="A56" s="37">
        <v>45999</v>
      </c>
      <c r="B56" s="38" t="s">
        <v>350</v>
      </c>
      <c r="C56" s="38">
        <v>98</v>
      </c>
      <c r="D56" s="38">
        <v>1329</v>
      </c>
      <c r="E56" s="40">
        <f t="shared" si="0"/>
        <v>46424</v>
      </c>
      <c r="F56" s="38" t="s">
        <v>315</v>
      </c>
    </row>
    <row r="57" spans="1:6" ht="18" x14ac:dyDescent="0.3">
      <c r="A57" s="37">
        <v>46006</v>
      </c>
      <c r="B57" s="38" t="s">
        <v>351</v>
      </c>
      <c r="C57" s="38">
        <v>91</v>
      </c>
      <c r="D57" s="38">
        <v>1017</v>
      </c>
      <c r="E57" s="40">
        <f t="shared" si="0"/>
        <v>46371</v>
      </c>
      <c r="F57" s="38" t="s">
        <v>297</v>
      </c>
    </row>
    <row r="58" spans="1:6" ht="18" x14ac:dyDescent="0.3">
      <c r="A58" s="37">
        <v>46006</v>
      </c>
      <c r="B58" s="38" t="s">
        <v>352</v>
      </c>
      <c r="C58" s="38">
        <v>383</v>
      </c>
      <c r="D58" s="38">
        <v>4620.5</v>
      </c>
      <c r="E58" s="40">
        <f t="shared" si="0"/>
        <v>46401</v>
      </c>
      <c r="F58" s="38" t="s">
        <v>299</v>
      </c>
    </row>
    <row r="59" spans="1:6" ht="18" x14ac:dyDescent="0.3">
      <c r="A59" s="37">
        <v>46006</v>
      </c>
      <c r="B59" s="38" t="s">
        <v>353</v>
      </c>
      <c r="C59" s="38">
        <v>116</v>
      </c>
      <c r="D59" s="38">
        <v>1558</v>
      </c>
      <c r="E59" s="40">
        <f t="shared" si="0"/>
        <v>46431</v>
      </c>
      <c r="F59" s="38" t="s">
        <v>315</v>
      </c>
    </row>
    <row r="60" spans="1:6" ht="18" x14ac:dyDescent="0.3">
      <c r="A60" s="37">
        <v>46013</v>
      </c>
      <c r="B60" s="38" t="s">
        <v>354</v>
      </c>
      <c r="C60" s="38">
        <v>55</v>
      </c>
      <c r="D60" s="38">
        <v>616</v>
      </c>
      <c r="E60" s="40">
        <f t="shared" si="0"/>
        <v>46378</v>
      </c>
      <c r="F60" s="38" t="s">
        <v>297</v>
      </c>
    </row>
    <row r="61" spans="1:6" ht="18" x14ac:dyDescent="0.3">
      <c r="A61" s="37">
        <v>46013</v>
      </c>
      <c r="B61" s="38" t="s">
        <v>355</v>
      </c>
      <c r="C61" s="38">
        <v>203</v>
      </c>
      <c r="D61" s="38">
        <v>2448.5</v>
      </c>
      <c r="E61" s="40">
        <f t="shared" si="0"/>
        <v>46408</v>
      </c>
      <c r="F61" s="38" t="s">
        <v>299</v>
      </c>
    </row>
    <row r="62" spans="1:6" ht="18" x14ac:dyDescent="0.3">
      <c r="A62" s="37">
        <v>46013</v>
      </c>
      <c r="B62" s="38" t="s">
        <v>356</v>
      </c>
      <c r="C62" s="38">
        <v>37</v>
      </c>
      <c r="D62" s="38">
        <v>500</v>
      </c>
      <c r="E62" s="40">
        <f t="shared" si="0"/>
        <v>46438</v>
      </c>
      <c r="F62" s="38" t="s">
        <v>315</v>
      </c>
    </row>
    <row r="63" spans="1:6" ht="18" x14ac:dyDescent="0.3">
      <c r="A63" s="37">
        <v>46020</v>
      </c>
      <c r="B63" s="38" t="s">
        <v>357</v>
      </c>
      <c r="C63" s="38">
        <v>32</v>
      </c>
      <c r="D63" s="38">
        <v>353</v>
      </c>
      <c r="E63" s="40">
        <f t="shared" si="0"/>
        <v>46385</v>
      </c>
      <c r="F63" s="38" t="s">
        <v>297</v>
      </c>
    </row>
    <row r="64" spans="1:6" ht="18" x14ac:dyDescent="0.3">
      <c r="A64" s="37">
        <v>46020</v>
      </c>
      <c r="B64" s="38" t="s">
        <v>358</v>
      </c>
      <c r="C64" s="38">
        <v>158</v>
      </c>
      <c r="D64" s="38">
        <v>1934</v>
      </c>
      <c r="E64" s="40">
        <f t="shared" si="0"/>
        <v>46415</v>
      </c>
      <c r="F64" s="38" t="s">
        <v>299</v>
      </c>
    </row>
    <row r="65" spans="1:6" ht="18" x14ac:dyDescent="0.3">
      <c r="A65" s="37">
        <v>46028</v>
      </c>
      <c r="B65" s="38" t="s">
        <v>359</v>
      </c>
      <c r="C65" s="38">
        <v>39</v>
      </c>
      <c r="D65" s="38">
        <v>439</v>
      </c>
      <c r="E65" s="40">
        <f t="shared" si="0"/>
        <v>46393</v>
      </c>
      <c r="F65" s="38" t="s">
        <v>297</v>
      </c>
    </row>
    <row r="66" spans="1:6" ht="18" x14ac:dyDescent="0.3">
      <c r="A66" s="37">
        <v>46028</v>
      </c>
      <c r="B66" s="38" t="s">
        <v>360</v>
      </c>
      <c r="C66" s="38">
        <v>155</v>
      </c>
      <c r="D66" s="38">
        <v>1856</v>
      </c>
      <c r="E66" s="40">
        <f t="shared" si="0"/>
        <v>46423</v>
      </c>
      <c r="F66" s="38" t="s">
        <v>299</v>
      </c>
    </row>
    <row r="67" spans="1:6" ht="18" x14ac:dyDescent="0.3">
      <c r="A67" s="37">
        <v>46035</v>
      </c>
      <c r="B67" s="38" t="s">
        <v>361</v>
      </c>
      <c r="C67" s="38">
        <v>190</v>
      </c>
      <c r="D67" s="38">
        <v>2070</v>
      </c>
      <c r="E67" s="40">
        <f t="shared" si="0"/>
        <v>46400</v>
      </c>
      <c r="F67" s="38" t="s">
        <v>297</v>
      </c>
    </row>
    <row r="68" spans="1:6" ht="18" x14ac:dyDescent="0.3">
      <c r="A68" s="37">
        <v>46035</v>
      </c>
      <c r="B68" s="38" t="s">
        <v>362</v>
      </c>
      <c r="C68" s="38">
        <v>485</v>
      </c>
      <c r="D68" s="38">
        <v>5877</v>
      </c>
      <c r="E68" s="40">
        <f t="shared" si="0"/>
        <v>46430</v>
      </c>
      <c r="F68" s="38" t="s">
        <v>299</v>
      </c>
    </row>
    <row r="69" spans="1:6" ht="18" x14ac:dyDescent="0.3">
      <c r="A69" s="37">
        <v>46042</v>
      </c>
      <c r="B69" s="38" t="s">
        <v>363</v>
      </c>
      <c r="C69" s="38">
        <v>274</v>
      </c>
      <c r="D69" s="38">
        <v>2981</v>
      </c>
      <c r="E69" s="40">
        <f t="shared" si="0"/>
        <v>46407</v>
      </c>
      <c r="F69" s="38" t="s">
        <v>297</v>
      </c>
    </row>
    <row r="70" spans="1:6" ht="18" x14ac:dyDescent="0.3">
      <c r="A70" s="37">
        <v>46042</v>
      </c>
      <c r="B70" s="38" t="s">
        <v>364</v>
      </c>
      <c r="C70" s="38">
        <v>405</v>
      </c>
      <c r="D70" s="38">
        <v>4842</v>
      </c>
      <c r="E70" s="40">
        <f t="shared" ref="E70:E106" si="1">IF(F70="CHICO",A70+365,IF(F70="GRANDE",A70+395,IF(F70="EXTRAGRANDE",A70+425,"")))</f>
        <v>46437</v>
      </c>
      <c r="F70" s="38" t="s">
        <v>299</v>
      </c>
    </row>
    <row r="71" spans="1:6" ht="18" x14ac:dyDescent="0.3">
      <c r="A71" s="37">
        <v>46049</v>
      </c>
      <c r="B71" s="38" t="s">
        <v>365</v>
      </c>
      <c r="C71" s="38">
        <v>354</v>
      </c>
      <c r="D71" s="38">
        <v>3816</v>
      </c>
      <c r="E71" s="40">
        <f t="shared" si="1"/>
        <v>46414</v>
      </c>
      <c r="F71" s="38" t="s">
        <v>297</v>
      </c>
    </row>
    <row r="72" spans="1:6" ht="18" x14ac:dyDescent="0.3">
      <c r="A72" s="37">
        <v>46049</v>
      </c>
      <c r="B72" s="38" t="s">
        <v>366</v>
      </c>
      <c r="C72" s="38">
        <v>319</v>
      </c>
      <c r="D72" s="38">
        <v>3821.5</v>
      </c>
      <c r="E72" s="40">
        <f t="shared" si="1"/>
        <v>46444</v>
      </c>
      <c r="F72" s="38" t="s">
        <v>299</v>
      </c>
    </row>
    <row r="73" spans="1:6" ht="18" x14ac:dyDescent="0.3">
      <c r="A73" s="37">
        <v>46056</v>
      </c>
      <c r="B73" s="38" t="s">
        <v>367</v>
      </c>
      <c r="C73" s="38">
        <v>249</v>
      </c>
      <c r="D73" s="38">
        <v>2683</v>
      </c>
      <c r="E73" s="40">
        <f t="shared" si="1"/>
        <v>46421</v>
      </c>
      <c r="F73" s="38" t="s">
        <v>297</v>
      </c>
    </row>
    <row r="74" spans="1:6" ht="18" x14ac:dyDescent="0.3">
      <c r="A74" s="37">
        <v>46056</v>
      </c>
      <c r="B74" s="38" t="s">
        <v>368</v>
      </c>
      <c r="C74" s="38">
        <v>436</v>
      </c>
      <c r="D74" s="38">
        <v>5439</v>
      </c>
      <c r="E74" s="40">
        <f t="shared" si="1"/>
        <v>46451</v>
      </c>
      <c r="F74" s="38" t="s">
        <v>299</v>
      </c>
    </row>
    <row r="75" spans="1:6" ht="18" x14ac:dyDescent="0.3">
      <c r="A75" s="37">
        <v>46062</v>
      </c>
      <c r="B75" s="38" t="s">
        <v>369</v>
      </c>
      <c r="C75" s="38">
        <v>282</v>
      </c>
      <c r="D75" s="38">
        <v>3050.5</v>
      </c>
      <c r="E75" s="40">
        <f t="shared" si="1"/>
        <v>46427</v>
      </c>
      <c r="F75" s="38" t="s">
        <v>297</v>
      </c>
    </row>
    <row r="76" spans="1:6" ht="18" x14ac:dyDescent="0.3">
      <c r="A76" s="37">
        <v>46062</v>
      </c>
      <c r="B76" s="38" t="s">
        <v>370</v>
      </c>
      <c r="C76" s="38">
        <v>382</v>
      </c>
      <c r="D76" s="38">
        <v>4731.5</v>
      </c>
      <c r="E76" s="40">
        <f t="shared" si="1"/>
        <v>46457</v>
      </c>
      <c r="F76" s="38" t="s">
        <v>299</v>
      </c>
    </row>
    <row r="77" spans="1:6" ht="18" x14ac:dyDescent="0.3">
      <c r="A77" s="37">
        <v>46070</v>
      </c>
      <c r="B77" s="38" t="s">
        <v>371</v>
      </c>
      <c r="C77" s="38">
        <v>287</v>
      </c>
      <c r="D77" s="38">
        <v>3105</v>
      </c>
      <c r="E77" s="40">
        <f t="shared" si="1"/>
        <v>46435</v>
      </c>
      <c r="F77" s="38" t="s">
        <v>297</v>
      </c>
    </row>
    <row r="78" spans="1:6" ht="18" x14ac:dyDescent="0.3">
      <c r="A78" s="37">
        <v>46070</v>
      </c>
      <c r="B78" s="38" t="s">
        <v>372</v>
      </c>
      <c r="C78" s="38">
        <v>305</v>
      </c>
      <c r="D78" s="38">
        <v>3743</v>
      </c>
      <c r="E78" s="40">
        <f t="shared" si="1"/>
        <v>46465</v>
      </c>
      <c r="F78" s="38" t="s">
        <v>299</v>
      </c>
    </row>
    <row r="79" spans="1:6" ht="18" x14ac:dyDescent="0.3">
      <c r="A79" s="37">
        <v>46077</v>
      </c>
      <c r="B79" s="38" t="s">
        <v>373</v>
      </c>
      <c r="C79" s="38">
        <v>324</v>
      </c>
      <c r="D79" s="38">
        <v>3468</v>
      </c>
      <c r="E79" s="40">
        <f t="shared" si="1"/>
        <v>46442</v>
      </c>
      <c r="F79" s="38" t="s">
        <v>297</v>
      </c>
    </row>
    <row r="80" spans="1:6" ht="18" x14ac:dyDescent="0.3">
      <c r="A80" s="37">
        <v>46077</v>
      </c>
      <c r="B80" s="38" t="s">
        <v>374</v>
      </c>
      <c r="C80" s="38">
        <v>236</v>
      </c>
      <c r="D80" s="38">
        <v>2822</v>
      </c>
      <c r="E80" s="40">
        <f t="shared" si="1"/>
        <v>46472</v>
      </c>
      <c r="F80" s="38" t="s">
        <v>299</v>
      </c>
    </row>
    <row r="81" spans="1:6" ht="18" x14ac:dyDescent="0.3">
      <c r="A81" s="37">
        <v>46084</v>
      </c>
      <c r="B81" s="38" t="s">
        <v>375</v>
      </c>
      <c r="C81" s="38">
        <v>213</v>
      </c>
      <c r="D81" s="38">
        <v>2282</v>
      </c>
      <c r="E81" s="40">
        <f t="shared" si="1"/>
        <v>46449</v>
      </c>
      <c r="F81" s="38" t="s">
        <v>297</v>
      </c>
    </row>
    <row r="82" spans="1:6" ht="18" x14ac:dyDescent="0.3">
      <c r="A82" s="37">
        <v>46084</v>
      </c>
      <c r="B82" s="38" t="s">
        <v>376</v>
      </c>
      <c r="C82" s="38">
        <v>377</v>
      </c>
      <c r="D82" s="38">
        <v>4585.5</v>
      </c>
      <c r="E82" s="40">
        <f t="shared" si="1"/>
        <v>46479</v>
      </c>
      <c r="F82" s="38" t="s">
        <v>299</v>
      </c>
    </row>
    <row r="83" spans="1:6" ht="18" x14ac:dyDescent="0.3">
      <c r="A83" s="37">
        <v>46091</v>
      </c>
      <c r="B83" s="38" t="s">
        <v>377</v>
      </c>
      <c r="C83" s="38">
        <v>314</v>
      </c>
      <c r="D83" s="38">
        <v>3416</v>
      </c>
      <c r="E83" s="40">
        <f t="shared" si="1"/>
        <v>46456</v>
      </c>
      <c r="F83" s="38" t="s">
        <v>297</v>
      </c>
    </row>
    <row r="84" spans="1:6" ht="18" x14ac:dyDescent="0.3">
      <c r="A84" s="37">
        <v>46091</v>
      </c>
      <c r="B84" s="38" t="s">
        <v>378</v>
      </c>
      <c r="C84" s="38">
        <v>357</v>
      </c>
      <c r="D84" s="38">
        <v>4321.5</v>
      </c>
      <c r="E84" s="40">
        <f t="shared" si="1"/>
        <v>46486</v>
      </c>
      <c r="F84" s="38" t="s">
        <v>299</v>
      </c>
    </row>
    <row r="85" spans="1:6" ht="18" x14ac:dyDescent="0.3">
      <c r="A85" s="37">
        <v>46098</v>
      </c>
      <c r="B85" s="38" t="s">
        <v>379</v>
      </c>
      <c r="C85" s="38">
        <v>210</v>
      </c>
      <c r="D85" s="38">
        <v>2286</v>
      </c>
      <c r="E85" s="40">
        <f t="shared" si="1"/>
        <v>46463</v>
      </c>
      <c r="F85" s="38" t="s">
        <v>297</v>
      </c>
    </row>
    <row r="86" spans="1:6" ht="18" x14ac:dyDescent="0.3">
      <c r="A86" s="37">
        <v>46098</v>
      </c>
      <c r="B86" s="38" t="s">
        <v>380</v>
      </c>
      <c r="C86" s="38">
        <v>581</v>
      </c>
      <c r="D86" s="38">
        <v>7123</v>
      </c>
      <c r="E86" s="40">
        <f t="shared" si="1"/>
        <v>46493</v>
      </c>
      <c r="F86" s="38" t="s">
        <v>299</v>
      </c>
    </row>
    <row r="87" spans="1:6" ht="18" x14ac:dyDescent="0.3">
      <c r="A87" s="37">
        <v>46098</v>
      </c>
      <c r="B87" s="38" t="s">
        <v>381</v>
      </c>
      <c r="C87" s="38">
        <v>39</v>
      </c>
      <c r="D87" s="38">
        <v>540</v>
      </c>
      <c r="E87" s="40">
        <f t="shared" si="1"/>
        <v>46523</v>
      </c>
      <c r="F87" s="38" t="s">
        <v>315</v>
      </c>
    </row>
    <row r="88" spans="1:6" ht="18" x14ac:dyDescent="0.3">
      <c r="A88" s="37">
        <v>46105</v>
      </c>
      <c r="B88" s="38" t="s">
        <v>382</v>
      </c>
      <c r="C88" s="38">
        <v>243</v>
      </c>
      <c r="D88" s="38">
        <v>2657</v>
      </c>
      <c r="E88" s="40">
        <f t="shared" si="1"/>
        <v>46470</v>
      </c>
      <c r="F88" s="38" t="s">
        <v>297</v>
      </c>
    </row>
    <row r="89" spans="1:6" ht="18" x14ac:dyDescent="0.3">
      <c r="A89" s="37">
        <v>46105</v>
      </c>
      <c r="B89" s="38" t="s">
        <v>383</v>
      </c>
      <c r="C89" s="38">
        <v>578</v>
      </c>
      <c r="D89" s="38">
        <v>7013.5</v>
      </c>
      <c r="E89" s="40">
        <f t="shared" si="1"/>
        <v>46500</v>
      </c>
      <c r="F89" s="38" t="s">
        <v>299</v>
      </c>
    </row>
    <row r="90" spans="1:6" ht="18" x14ac:dyDescent="0.3">
      <c r="A90" s="37">
        <v>46105</v>
      </c>
      <c r="B90" s="38" t="s">
        <v>384</v>
      </c>
      <c r="C90" s="38">
        <v>29</v>
      </c>
      <c r="D90" s="38">
        <v>397</v>
      </c>
      <c r="E90" s="40">
        <f t="shared" si="1"/>
        <v>46530</v>
      </c>
      <c r="F90" s="38" t="s">
        <v>315</v>
      </c>
    </row>
    <row r="91" spans="1:6" ht="18" x14ac:dyDescent="0.3">
      <c r="A91" s="37">
        <v>46113</v>
      </c>
      <c r="B91" s="38" t="s">
        <v>385</v>
      </c>
      <c r="C91" s="38">
        <v>186</v>
      </c>
      <c r="D91" s="38">
        <v>2046</v>
      </c>
      <c r="E91" s="40">
        <f t="shared" si="1"/>
        <v>46478</v>
      </c>
      <c r="F91" s="38" t="s">
        <v>297</v>
      </c>
    </row>
    <row r="92" spans="1:6" ht="18" x14ac:dyDescent="0.3">
      <c r="A92" s="37">
        <v>46113</v>
      </c>
      <c r="B92" s="38" t="s">
        <v>386</v>
      </c>
      <c r="C92" s="38">
        <v>512</v>
      </c>
      <c r="D92" s="38">
        <v>6256</v>
      </c>
      <c r="E92" s="40">
        <f t="shared" si="1"/>
        <v>46508</v>
      </c>
      <c r="F92" s="38" t="s">
        <v>299</v>
      </c>
    </row>
    <row r="93" spans="1:6" ht="18" x14ac:dyDescent="0.3">
      <c r="A93" s="37">
        <v>46113</v>
      </c>
      <c r="B93" s="38" t="s">
        <v>387</v>
      </c>
      <c r="C93" s="38">
        <v>24</v>
      </c>
      <c r="D93" s="38">
        <v>331</v>
      </c>
      <c r="E93" s="40">
        <f t="shared" si="1"/>
        <v>46538</v>
      </c>
      <c r="F93" s="38" t="s">
        <v>315</v>
      </c>
    </row>
    <row r="94" spans="1:6" ht="18" x14ac:dyDescent="0.3">
      <c r="A94" s="37">
        <v>46115</v>
      </c>
      <c r="B94" s="38" t="s">
        <v>388</v>
      </c>
      <c r="C94" s="38">
        <v>289</v>
      </c>
      <c r="D94" s="38">
        <v>3145</v>
      </c>
      <c r="E94" s="40">
        <f t="shared" si="1"/>
        <v>46480</v>
      </c>
      <c r="F94" s="38" t="s">
        <v>297</v>
      </c>
    </row>
    <row r="95" spans="1:6" ht="18" x14ac:dyDescent="0.3">
      <c r="A95" s="37">
        <v>46115</v>
      </c>
      <c r="B95" s="38" t="s">
        <v>389</v>
      </c>
      <c r="C95" s="38">
        <v>419</v>
      </c>
      <c r="D95" s="38">
        <v>5054.5</v>
      </c>
      <c r="E95" s="40">
        <f t="shared" si="1"/>
        <v>46510</v>
      </c>
      <c r="F95" s="38" t="s">
        <v>299</v>
      </c>
    </row>
    <row r="96" spans="1:6" ht="18" x14ac:dyDescent="0.3">
      <c r="A96" s="37">
        <v>46133</v>
      </c>
      <c r="B96" s="38" t="s">
        <v>390</v>
      </c>
      <c r="C96" s="38">
        <v>190</v>
      </c>
      <c r="D96" s="38">
        <v>2082</v>
      </c>
      <c r="E96" s="40">
        <f t="shared" si="1"/>
        <v>46498</v>
      </c>
      <c r="F96" s="38" t="s">
        <v>297</v>
      </c>
    </row>
    <row r="97" spans="1:6" ht="18" x14ac:dyDescent="0.3">
      <c r="A97" s="37">
        <v>46133</v>
      </c>
      <c r="B97" s="38" t="s">
        <v>391</v>
      </c>
      <c r="C97" s="38">
        <v>624</v>
      </c>
      <c r="D97" s="38">
        <v>7628</v>
      </c>
      <c r="E97" s="40">
        <f t="shared" si="1"/>
        <v>46528</v>
      </c>
      <c r="F97" s="38" t="s">
        <v>299</v>
      </c>
    </row>
    <row r="98" spans="1:6" ht="18" x14ac:dyDescent="0.3">
      <c r="A98" s="37">
        <v>46140</v>
      </c>
      <c r="B98" s="38" t="s">
        <v>392</v>
      </c>
      <c r="C98" s="38">
        <v>217</v>
      </c>
      <c r="D98" s="38">
        <v>2381</v>
      </c>
      <c r="E98" s="40">
        <f t="shared" si="1"/>
        <v>46505</v>
      </c>
      <c r="F98" s="38" t="s">
        <v>297</v>
      </c>
    </row>
    <row r="99" spans="1:6" ht="18" x14ac:dyDescent="0.3">
      <c r="A99" s="37">
        <v>46140</v>
      </c>
      <c r="B99" s="38" t="s">
        <v>393</v>
      </c>
      <c r="C99" s="38">
        <v>586</v>
      </c>
      <c r="D99" s="38">
        <v>7171</v>
      </c>
      <c r="E99" s="40">
        <f t="shared" si="1"/>
        <v>46535</v>
      </c>
      <c r="F99" s="38" t="s">
        <v>299</v>
      </c>
    </row>
    <row r="100" spans="1:6" ht="18" x14ac:dyDescent="0.3">
      <c r="A100" s="37">
        <v>46140</v>
      </c>
      <c r="B100" s="38" t="s">
        <v>394</v>
      </c>
      <c r="C100" s="38">
        <v>29</v>
      </c>
      <c r="D100" s="38">
        <v>395</v>
      </c>
      <c r="E100" s="40">
        <f t="shared" si="1"/>
        <v>46565</v>
      </c>
      <c r="F100" s="38" t="s">
        <v>315</v>
      </c>
    </row>
    <row r="101" spans="1:6" ht="18" x14ac:dyDescent="0.3">
      <c r="A101" s="37">
        <v>46147</v>
      </c>
      <c r="B101" s="38" t="s">
        <v>395</v>
      </c>
      <c r="C101" s="38">
        <v>264</v>
      </c>
      <c r="D101" s="38">
        <v>2994</v>
      </c>
      <c r="E101" s="40">
        <f t="shared" si="1"/>
        <v>46512</v>
      </c>
      <c r="F101" s="38" t="s">
        <v>297</v>
      </c>
    </row>
    <row r="102" spans="1:6" ht="18" x14ac:dyDescent="0.3">
      <c r="A102" s="37">
        <v>46147</v>
      </c>
      <c r="B102" s="38" t="s">
        <v>396</v>
      </c>
      <c r="C102" s="38">
        <v>459</v>
      </c>
      <c r="D102" s="38">
        <v>5458</v>
      </c>
      <c r="E102" s="40">
        <f t="shared" si="1"/>
        <v>46542</v>
      </c>
      <c r="F102" s="38" t="s">
        <v>299</v>
      </c>
    </row>
    <row r="103" spans="1:6" ht="18" x14ac:dyDescent="0.3">
      <c r="A103" s="46">
        <v>46147</v>
      </c>
      <c r="B103" s="47" t="s">
        <v>397</v>
      </c>
      <c r="C103" s="47">
        <v>45</v>
      </c>
      <c r="D103" s="47">
        <v>605</v>
      </c>
      <c r="E103" s="48">
        <f t="shared" si="1"/>
        <v>46572</v>
      </c>
      <c r="F103" s="47" t="s">
        <v>315</v>
      </c>
    </row>
    <row r="104" spans="1:6" ht="18" x14ac:dyDescent="0.3">
      <c r="A104" s="37">
        <v>46154</v>
      </c>
      <c r="B104" s="38" t="s">
        <v>405</v>
      </c>
      <c r="C104" s="38">
        <v>190</v>
      </c>
      <c r="D104" s="38">
        <v>2097</v>
      </c>
      <c r="E104" s="48">
        <f t="shared" si="1"/>
        <v>46519</v>
      </c>
      <c r="F104" s="38" t="s">
        <v>297</v>
      </c>
    </row>
    <row r="105" spans="1:6" ht="18" x14ac:dyDescent="0.3">
      <c r="A105" s="37">
        <v>46154</v>
      </c>
      <c r="B105" s="38" t="s">
        <v>406</v>
      </c>
      <c r="C105" s="38">
        <v>443</v>
      </c>
      <c r="D105" s="38">
        <v>5358</v>
      </c>
      <c r="E105" s="48">
        <f t="shared" si="1"/>
        <v>46549</v>
      </c>
      <c r="F105" s="38" t="s">
        <v>299</v>
      </c>
    </row>
    <row r="106" spans="1:6" ht="18" x14ac:dyDescent="0.3">
      <c r="A106" s="37">
        <v>46154</v>
      </c>
      <c r="B106" s="38" t="s">
        <v>407</v>
      </c>
      <c r="C106" s="38">
        <v>54</v>
      </c>
      <c r="D106" s="38">
        <v>729</v>
      </c>
      <c r="E106" s="48">
        <f t="shared" si="1"/>
        <v>46579</v>
      </c>
      <c r="F106" s="38" t="s">
        <v>315</v>
      </c>
    </row>
  </sheetData>
  <mergeCells count="2">
    <mergeCell ref="A1:E1"/>
    <mergeCell ref="B3:D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6374-E568-474F-80D4-00CA68F09EB5}">
  <dimension ref="A1:E9"/>
  <sheetViews>
    <sheetView workbookViewId="0">
      <selection activeCell="C4" sqref="C4:C9"/>
    </sheetView>
  </sheetViews>
  <sheetFormatPr baseColWidth="10" defaultRowHeight="14.4" x14ac:dyDescent="0.3"/>
  <cols>
    <col min="1" max="1" width="23.6640625" customWidth="1"/>
    <col min="2" max="2" width="12.6640625" customWidth="1"/>
    <col min="3" max="3" width="16.109375" customWidth="1"/>
    <col min="4" max="4" width="10.33203125" customWidth="1"/>
    <col min="5" max="5" width="29.6640625" customWidth="1"/>
  </cols>
  <sheetData>
    <row r="1" spans="1:5" ht="31.8" thickBot="1" x14ac:dyDescent="0.65">
      <c r="A1" s="72" t="s">
        <v>287</v>
      </c>
      <c r="B1" s="72"/>
      <c r="C1" s="72"/>
      <c r="D1" s="72"/>
      <c r="E1" s="72"/>
    </row>
    <row r="2" spans="1:5" ht="31.8" thickTop="1" x14ac:dyDescent="0.6">
      <c r="A2" s="35"/>
      <c r="B2" s="73" t="s">
        <v>260</v>
      </c>
      <c r="C2" s="73"/>
      <c r="D2" s="73"/>
      <c r="E2" s="36">
        <v>21</v>
      </c>
    </row>
    <row r="3" spans="1:5" ht="21.6" thickBot="1" x14ac:dyDescent="0.45">
      <c r="A3" s="42" t="s">
        <v>261</v>
      </c>
      <c r="B3" s="43" t="s">
        <v>262</v>
      </c>
      <c r="C3" s="43" t="s">
        <v>85</v>
      </c>
      <c r="D3" s="43" t="s">
        <v>263</v>
      </c>
      <c r="E3" s="49" t="s">
        <v>264</v>
      </c>
    </row>
    <row r="4" spans="1:5" ht="18" x14ac:dyDescent="0.3">
      <c r="A4" s="37">
        <v>46134</v>
      </c>
      <c r="B4" s="38" t="s">
        <v>288</v>
      </c>
      <c r="C4" s="38">
        <v>6744</v>
      </c>
      <c r="D4" s="38">
        <v>1840</v>
      </c>
      <c r="E4" s="37">
        <f t="shared" ref="E4:E9" si="0">+A4+$E$2</f>
        <v>46155</v>
      </c>
    </row>
    <row r="5" spans="1:5" ht="18" x14ac:dyDescent="0.3">
      <c r="A5" s="37">
        <v>46141</v>
      </c>
      <c r="B5" s="38" t="s">
        <v>289</v>
      </c>
      <c r="C5" s="38">
        <v>6720</v>
      </c>
      <c r="D5" s="38">
        <v>1820</v>
      </c>
      <c r="E5" s="37">
        <f t="shared" si="0"/>
        <v>46162</v>
      </c>
    </row>
    <row r="6" spans="1:5" ht="18" x14ac:dyDescent="0.3">
      <c r="A6" s="37">
        <v>46148</v>
      </c>
      <c r="B6" s="38" t="s">
        <v>290</v>
      </c>
      <c r="C6" s="38">
        <v>4478</v>
      </c>
      <c r="D6" s="38">
        <v>1205</v>
      </c>
      <c r="E6" s="37">
        <f t="shared" si="0"/>
        <v>46169</v>
      </c>
    </row>
    <row r="7" spans="1:5" ht="18" x14ac:dyDescent="0.3">
      <c r="A7" s="46">
        <v>46149</v>
      </c>
      <c r="B7" s="47" t="s">
        <v>291</v>
      </c>
      <c r="C7" s="47">
        <v>4464</v>
      </c>
      <c r="D7" s="47">
        <v>1197</v>
      </c>
      <c r="E7" s="46">
        <f t="shared" si="0"/>
        <v>46170</v>
      </c>
    </row>
    <row r="8" spans="1:5" ht="18" x14ac:dyDescent="0.3">
      <c r="A8" s="37">
        <v>46155</v>
      </c>
      <c r="B8" s="38" t="s">
        <v>408</v>
      </c>
      <c r="C8" s="38">
        <v>4330</v>
      </c>
      <c r="D8" s="38">
        <v>1213</v>
      </c>
      <c r="E8" s="37">
        <f>+A8+$E$2</f>
        <v>46176</v>
      </c>
    </row>
    <row r="9" spans="1:5" ht="18" x14ac:dyDescent="0.3">
      <c r="A9" s="46">
        <v>46156</v>
      </c>
      <c r="B9" s="47" t="s">
        <v>409</v>
      </c>
      <c r="C9" s="47">
        <v>4522</v>
      </c>
      <c r="D9" s="47">
        <v>1222</v>
      </c>
      <c r="E9" s="46">
        <f t="shared" si="0"/>
        <v>46177</v>
      </c>
    </row>
  </sheetData>
  <mergeCells count="2">
    <mergeCell ref="A1:E1"/>
    <mergeCell ref="B2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8388-FCA9-41FE-A16D-71561F388CC9}">
  <dimension ref="A1:E4"/>
  <sheetViews>
    <sheetView workbookViewId="0">
      <selection activeCell="D18" sqref="D18"/>
    </sheetView>
  </sheetViews>
  <sheetFormatPr baseColWidth="10" defaultRowHeight="14.4" x14ac:dyDescent="0.3"/>
  <cols>
    <col min="1" max="1" width="23.6640625" customWidth="1"/>
    <col min="2" max="2" width="12.6640625" customWidth="1"/>
    <col min="3" max="3" width="16.109375" customWidth="1"/>
    <col min="5" max="5" width="29.6640625" customWidth="1"/>
  </cols>
  <sheetData>
    <row r="1" spans="1:5" ht="31.8" thickBot="1" x14ac:dyDescent="0.65">
      <c r="A1" s="72" t="s">
        <v>286</v>
      </c>
      <c r="B1" s="72"/>
      <c r="C1" s="72"/>
      <c r="D1" s="72"/>
      <c r="E1" s="72"/>
    </row>
    <row r="2" spans="1:5" ht="31.8" thickTop="1" x14ac:dyDescent="0.6">
      <c r="A2" s="35"/>
      <c r="B2" s="73" t="s">
        <v>260</v>
      </c>
      <c r="C2" s="73"/>
      <c r="D2" s="73"/>
      <c r="E2" s="36">
        <v>5</v>
      </c>
    </row>
    <row r="3" spans="1:5" ht="21" x14ac:dyDescent="0.4">
      <c r="A3" s="50" t="s">
        <v>261</v>
      </c>
      <c r="B3" s="50" t="s">
        <v>262</v>
      </c>
      <c r="C3" s="50" t="s">
        <v>85</v>
      </c>
      <c r="D3" s="50" t="s">
        <v>263</v>
      </c>
      <c r="E3" s="51" t="s">
        <v>264</v>
      </c>
    </row>
    <row r="4" spans="1:5" ht="18" x14ac:dyDescent="0.3">
      <c r="A4" s="52">
        <v>46156</v>
      </c>
      <c r="B4" s="53" t="s">
        <v>410</v>
      </c>
      <c r="C4" s="53">
        <v>99</v>
      </c>
      <c r="D4" s="53">
        <v>349</v>
      </c>
      <c r="E4" s="46">
        <f>+A4+$E$2</f>
        <v>46161</v>
      </c>
    </row>
  </sheetData>
  <mergeCells count="2">
    <mergeCell ref="A1:E1"/>
    <mergeCell ref="B2:D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C8FD-7B31-485A-BDCE-8EF1225503E6}">
  <dimension ref="A1:E7"/>
  <sheetViews>
    <sheetView workbookViewId="0">
      <selection activeCell="B12" sqref="B12"/>
    </sheetView>
  </sheetViews>
  <sheetFormatPr baseColWidth="10" defaultRowHeight="14.4" x14ac:dyDescent="0.3"/>
  <cols>
    <col min="1" max="1" width="23.6640625" customWidth="1"/>
    <col min="2" max="2" width="12.6640625" customWidth="1"/>
    <col min="3" max="3" width="16.109375" customWidth="1"/>
    <col min="5" max="5" width="29.6640625" customWidth="1"/>
  </cols>
  <sheetData>
    <row r="1" spans="1:5" ht="31.8" thickBot="1" x14ac:dyDescent="0.65">
      <c r="A1" s="72" t="s">
        <v>283</v>
      </c>
      <c r="B1" s="72"/>
      <c r="C1" s="72"/>
      <c r="D1" s="72"/>
      <c r="E1" s="72"/>
    </row>
    <row r="2" spans="1:5" ht="31.8" thickTop="1" x14ac:dyDescent="0.6">
      <c r="A2" s="35"/>
      <c r="B2" s="73" t="s">
        <v>260</v>
      </c>
      <c r="C2" s="73"/>
      <c r="D2" s="73"/>
      <c r="E2" s="36">
        <v>65</v>
      </c>
    </row>
    <row r="3" spans="1:5" ht="21" x14ac:dyDescent="0.4">
      <c r="A3" s="55" t="s">
        <v>261</v>
      </c>
      <c r="B3" s="50" t="s">
        <v>262</v>
      </c>
      <c r="C3" s="50" t="s">
        <v>85</v>
      </c>
      <c r="D3" s="50" t="s">
        <v>263</v>
      </c>
      <c r="E3" s="51" t="s">
        <v>264</v>
      </c>
    </row>
    <row r="4" spans="1:5" ht="18" x14ac:dyDescent="0.3">
      <c r="A4" s="54">
        <v>46141</v>
      </c>
      <c r="B4" s="38" t="s">
        <v>284</v>
      </c>
      <c r="C4" s="38">
        <v>224</v>
      </c>
      <c r="D4" s="38">
        <v>494</v>
      </c>
      <c r="E4" s="39">
        <f>+A4+$E$2</f>
        <v>46206</v>
      </c>
    </row>
    <row r="5" spans="1:5" ht="18" x14ac:dyDescent="0.3">
      <c r="A5" s="56">
        <v>46149</v>
      </c>
      <c r="B5" s="47" t="s">
        <v>285</v>
      </c>
      <c r="C5" s="47">
        <v>224</v>
      </c>
      <c r="D5" s="47">
        <v>504.2</v>
      </c>
      <c r="E5" s="57">
        <f>+A5+$E$2</f>
        <v>46214</v>
      </c>
    </row>
    <row r="6" spans="1:5" ht="18" x14ac:dyDescent="0.3">
      <c r="A6" s="56">
        <v>46155</v>
      </c>
      <c r="B6" s="47" t="s">
        <v>411</v>
      </c>
      <c r="C6" s="47">
        <v>449</v>
      </c>
      <c r="D6" s="47">
        <v>964.5</v>
      </c>
      <c r="E6" s="57">
        <f>+A6+$E$2</f>
        <v>46220</v>
      </c>
    </row>
    <row r="7" spans="1:5" ht="18" x14ac:dyDescent="0.3">
      <c r="A7" s="56">
        <v>46157</v>
      </c>
      <c r="B7" s="47" t="s">
        <v>415</v>
      </c>
      <c r="C7" s="47">
        <v>448</v>
      </c>
      <c r="D7" s="47">
        <v>962</v>
      </c>
      <c r="E7" s="57">
        <f>+A7+$E$2</f>
        <v>46222</v>
      </c>
    </row>
  </sheetData>
  <mergeCells count="2">
    <mergeCell ref="A1:E1"/>
    <mergeCell ref="B2:D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B7CB-794A-4E18-9B01-906A0CE45D8C}">
  <dimension ref="A1:E5"/>
  <sheetViews>
    <sheetView workbookViewId="0">
      <selection activeCell="C4" sqref="C4:C5"/>
    </sheetView>
  </sheetViews>
  <sheetFormatPr baseColWidth="10" defaultRowHeight="14.4" x14ac:dyDescent="0.3"/>
  <cols>
    <col min="1" max="1" width="23.6640625" customWidth="1"/>
    <col min="2" max="2" width="12.6640625" customWidth="1"/>
    <col min="3" max="3" width="16.109375" customWidth="1"/>
    <col min="4" max="4" width="10.33203125" customWidth="1"/>
    <col min="5" max="5" width="29.6640625" customWidth="1"/>
  </cols>
  <sheetData>
    <row r="1" spans="1:5" ht="31.8" thickBot="1" x14ac:dyDescent="0.65">
      <c r="A1" s="72" t="s">
        <v>281</v>
      </c>
      <c r="B1" s="72"/>
      <c r="C1" s="72"/>
      <c r="D1" s="72"/>
      <c r="E1" s="72"/>
    </row>
    <row r="2" spans="1:5" ht="31.8" thickTop="1" x14ac:dyDescent="0.6">
      <c r="A2" s="35"/>
      <c r="B2" s="73" t="s">
        <v>260</v>
      </c>
      <c r="C2" s="73"/>
      <c r="D2" s="73"/>
      <c r="E2" s="36">
        <f>10+35</f>
        <v>45</v>
      </c>
    </row>
    <row r="3" spans="1:5" ht="21" x14ac:dyDescent="0.4">
      <c r="A3" s="55" t="s">
        <v>261</v>
      </c>
      <c r="B3" s="50" t="s">
        <v>262</v>
      </c>
      <c r="C3" s="50" t="s">
        <v>85</v>
      </c>
      <c r="D3" s="50" t="s">
        <v>263</v>
      </c>
      <c r="E3" s="51" t="s">
        <v>264</v>
      </c>
    </row>
    <row r="4" spans="1:5" ht="18" x14ac:dyDescent="0.3">
      <c r="A4" s="56">
        <v>46121</v>
      </c>
      <c r="B4" s="47" t="s">
        <v>282</v>
      </c>
      <c r="C4" s="47">
        <v>99</v>
      </c>
      <c r="D4" s="47">
        <v>261</v>
      </c>
      <c r="E4" s="46">
        <f>+A4+$E$2</f>
        <v>46166</v>
      </c>
    </row>
    <row r="5" spans="1:5" ht="18" x14ac:dyDescent="0.3">
      <c r="A5" s="56">
        <v>46155</v>
      </c>
      <c r="B5" s="47" t="s">
        <v>412</v>
      </c>
      <c r="C5" s="47">
        <v>103</v>
      </c>
      <c r="D5" s="47">
        <v>223</v>
      </c>
      <c r="E5" s="46">
        <f>+A5+$E$2</f>
        <v>46200</v>
      </c>
    </row>
  </sheetData>
  <mergeCells count="2">
    <mergeCell ref="A1:E1"/>
    <mergeCell ref="B2:D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AB20-92E5-4055-8866-C8CBDF943E8D}">
  <dimension ref="A1:E27"/>
  <sheetViews>
    <sheetView topLeftCell="A4" workbookViewId="0">
      <selection activeCell="C4" sqref="C4:C27"/>
    </sheetView>
  </sheetViews>
  <sheetFormatPr baseColWidth="10" defaultRowHeight="14.4" x14ac:dyDescent="0.3"/>
  <cols>
    <col min="1" max="1" width="23.6640625" customWidth="1"/>
    <col min="2" max="2" width="12.6640625" customWidth="1"/>
    <col min="3" max="3" width="16.109375" customWidth="1"/>
    <col min="4" max="4" width="10.33203125" customWidth="1"/>
    <col min="5" max="5" width="29.6640625" customWidth="1"/>
  </cols>
  <sheetData>
    <row r="1" spans="1:5" ht="31.8" thickBot="1" x14ac:dyDescent="0.65">
      <c r="A1" s="72" t="s">
        <v>259</v>
      </c>
      <c r="B1" s="72"/>
      <c r="C1" s="72"/>
      <c r="D1" s="72"/>
      <c r="E1" s="72"/>
    </row>
    <row r="2" spans="1:5" ht="31.8" thickTop="1" x14ac:dyDescent="0.6">
      <c r="A2" s="35"/>
      <c r="B2" s="73" t="s">
        <v>260</v>
      </c>
      <c r="C2" s="73"/>
      <c r="D2" s="73"/>
      <c r="E2" s="36">
        <v>150</v>
      </c>
    </row>
    <row r="3" spans="1:5" ht="21" x14ac:dyDescent="0.4">
      <c r="A3" s="55" t="s">
        <v>261</v>
      </c>
      <c r="B3" s="50" t="s">
        <v>262</v>
      </c>
      <c r="C3" s="50" t="s">
        <v>85</v>
      </c>
      <c r="D3" s="50" t="s">
        <v>263</v>
      </c>
      <c r="E3" s="51" t="s">
        <v>264</v>
      </c>
    </row>
    <row r="4" spans="1:5" ht="18" x14ac:dyDescent="0.3">
      <c r="A4" s="54">
        <v>46002</v>
      </c>
      <c r="B4" s="38" t="s">
        <v>265</v>
      </c>
      <c r="C4" s="38">
        <v>598</v>
      </c>
      <c r="D4" s="38">
        <v>3618.5</v>
      </c>
      <c r="E4" s="37">
        <f>+A4+$E$2</f>
        <v>46152</v>
      </c>
    </row>
    <row r="5" spans="1:5" ht="18" x14ac:dyDescent="0.3">
      <c r="A5" s="54">
        <v>46010</v>
      </c>
      <c r="B5" s="38" t="s">
        <v>266</v>
      </c>
      <c r="C5" s="38">
        <v>502</v>
      </c>
      <c r="D5" s="38">
        <v>3064</v>
      </c>
      <c r="E5" s="37">
        <f t="shared" ref="E5:E26" si="0">+A5+$E$2</f>
        <v>46160</v>
      </c>
    </row>
    <row r="6" spans="1:5" ht="18" x14ac:dyDescent="0.3">
      <c r="A6" s="54">
        <v>46017</v>
      </c>
      <c r="B6" s="38" t="s">
        <v>267</v>
      </c>
      <c r="C6" s="38">
        <v>602</v>
      </c>
      <c r="D6" s="38">
        <v>3621</v>
      </c>
      <c r="E6" s="37">
        <f t="shared" si="0"/>
        <v>46167</v>
      </c>
    </row>
    <row r="7" spans="1:5" ht="18" x14ac:dyDescent="0.3">
      <c r="A7" s="54">
        <v>46024</v>
      </c>
      <c r="B7" s="38" t="s">
        <v>268</v>
      </c>
      <c r="C7" s="38">
        <v>492</v>
      </c>
      <c r="D7" s="38">
        <v>2929</v>
      </c>
      <c r="E7" s="37">
        <f t="shared" si="0"/>
        <v>46174</v>
      </c>
    </row>
    <row r="8" spans="1:5" ht="18" x14ac:dyDescent="0.3">
      <c r="A8" s="54">
        <v>46031</v>
      </c>
      <c r="B8" s="38" t="s">
        <v>269</v>
      </c>
      <c r="C8" s="38">
        <v>599</v>
      </c>
      <c r="D8" s="38">
        <v>3463</v>
      </c>
      <c r="E8" s="37">
        <f t="shared" si="0"/>
        <v>46181</v>
      </c>
    </row>
    <row r="9" spans="1:5" ht="18" x14ac:dyDescent="0.3">
      <c r="A9" s="54">
        <v>46038</v>
      </c>
      <c r="B9" s="38" t="s">
        <v>270</v>
      </c>
      <c r="C9" s="38">
        <v>440</v>
      </c>
      <c r="D9" s="38">
        <v>2680</v>
      </c>
      <c r="E9" s="37">
        <f t="shared" si="0"/>
        <v>46188</v>
      </c>
    </row>
    <row r="10" spans="1:5" ht="18" x14ac:dyDescent="0.3">
      <c r="A10" s="54">
        <v>46038</v>
      </c>
      <c r="B10" s="38" t="s">
        <v>271</v>
      </c>
      <c r="C10" s="38">
        <v>138</v>
      </c>
      <c r="D10" s="38">
        <v>796.5</v>
      </c>
      <c r="E10" s="37">
        <f t="shared" si="0"/>
        <v>46188</v>
      </c>
    </row>
    <row r="11" spans="1:5" ht="18" x14ac:dyDescent="0.3">
      <c r="A11" s="54">
        <v>46045</v>
      </c>
      <c r="B11" s="38" t="s">
        <v>272</v>
      </c>
      <c r="C11" s="38">
        <v>600</v>
      </c>
      <c r="D11" s="38">
        <v>3636</v>
      </c>
      <c r="E11" s="37">
        <f t="shared" si="0"/>
        <v>46195</v>
      </c>
    </row>
    <row r="12" spans="1:5" ht="18" x14ac:dyDescent="0.3">
      <c r="A12" s="54">
        <v>46050</v>
      </c>
      <c r="B12" s="38" t="s">
        <v>273</v>
      </c>
      <c r="C12" s="38">
        <v>766</v>
      </c>
      <c r="D12" s="38">
        <v>4684.5</v>
      </c>
      <c r="E12" s="37">
        <f t="shared" si="0"/>
        <v>46200</v>
      </c>
    </row>
    <row r="13" spans="1:5" ht="18" x14ac:dyDescent="0.3">
      <c r="A13" s="54">
        <v>46057</v>
      </c>
      <c r="B13" s="38" t="s">
        <v>274</v>
      </c>
      <c r="C13" s="38">
        <v>801</v>
      </c>
      <c r="D13" s="38">
        <v>4838</v>
      </c>
      <c r="E13" s="37">
        <f t="shared" si="0"/>
        <v>46207</v>
      </c>
    </row>
    <row r="14" spans="1:5" ht="18" x14ac:dyDescent="0.3">
      <c r="A14" s="54">
        <v>46065</v>
      </c>
      <c r="B14" s="38" t="s">
        <v>275</v>
      </c>
      <c r="C14" s="38">
        <v>797</v>
      </c>
      <c r="D14" s="38">
        <v>4871</v>
      </c>
      <c r="E14" s="37">
        <f t="shared" si="0"/>
        <v>46215</v>
      </c>
    </row>
    <row r="15" spans="1:5" ht="18" x14ac:dyDescent="0.3">
      <c r="A15" s="54">
        <v>46073</v>
      </c>
      <c r="B15" s="38" t="s">
        <v>276</v>
      </c>
      <c r="C15" s="38">
        <v>402</v>
      </c>
      <c r="D15" s="38">
        <v>2434</v>
      </c>
      <c r="E15" s="37">
        <f t="shared" si="0"/>
        <v>46223</v>
      </c>
    </row>
    <row r="16" spans="1:5" ht="18" x14ac:dyDescent="0.3">
      <c r="A16" s="54">
        <v>46079</v>
      </c>
      <c r="B16" s="38" t="s">
        <v>62</v>
      </c>
      <c r="C16" s="38">
        <v>785</v>
      </c>
      <c r="D16" s="38">
        <v>4780.5</v>
      </c>
      <c r="E16" s="37">
        <f t="shared" si="0"/>
        <v>46229</v>
      </c>
    </row>
    <row r="17" spans="1:5" ht="18" x14ac:dyDescent="0.3">
      <c r="A17" s="54">
        <v>46086</v>
      </c>
      <c r="B17" s="38" t="s">
        <v>277</v>
      </c>
      <c r="C17" s="38">
        <v>796</v>
      </c>
      <c r="D17" s="38">
        <v>5042</v>
      </c>
      <c r="E17" s="37">
        <f t="shared" si="0"/>
        <v>46236</v>
      </c>
    </row>
    <row r="18" spans="1:5" ht="18" x14ac:dyDescent="0.3">
      <c r="A18" s="54">
        <v>46093</v>
      </c>
      <c r="B18" s="38" t="s">
        <v>63</v>
      </c>
      <c r="C18" s="38">
        <v>819</v>
      </c>
      <c r="D18" s="38">
        <v>5212.5</v>
      </c>
      <c r="E18" s="37">
        <f t="shared" si="0"/>
        <v>46243</v>
      </c>
    </row>
    <row r="19" spans="1:5" ht="18" x14ac:dyDescent="0.3">
      <c r="A19" s="54">
        <v>46100</v>
      </c>
      <c r="B19" s="38" t="s">
        <v>278</v>
      </c>
      <c r="C19" s="38">
        <v>802</v>
      </c>
      <c r="D19" s="38">
        <v>5180</v>
      </c>
      <c r="E19" s="37">
        <f t="shared" si="0"/>
        <v>46250</v>
      </c>
    </row>
    <row r="20" spans="1:5" ht="18" x14ac:dyDescent="0.3">
      <c r="A20" s="54">
        <v>46107</v>
      </c>
      <c r="B20" s="38" t="s">
        <v>64</v>
      </c>
      <c r="C20" s="38">
        <v>588</v>
      </c>
      <c r="D20" s="38">
        <v>3821.5</v>
      </c>
      <c r="E20" s="37">
        <f t="shared" si="0"/>
        <v>46257</v>
      </c>
    </row>
    <row r="21" spans="1:5" ht="18" x14ac:dyDescent="0.3">
      <c r="A21" s="54">
        <v>46114</v>
      </c>
      <c r="B21" s="38" t="s">
        <v>279</v>
      </c>
      <c r="C21" s="38">
        <v>733</v>
      </c>
      <c r="D21" s="38">
        <v>4777.5</v>
      </c>
      <c r="E21" s="37">
        <f t="shared" si="0"/>
        <v>46264</v>
      </c>
    </row>
    <row r="22" spans="1:5" ht="18" x14ac:dyDescent="0.3">
      <c r="A22" s="54">
        <v>46121</v>
      </c>
      <c r="B22" s="38" t="s">
        <v>66</v>
      </c>
      <c r="C22" s="38">
        <v>799</v>
      </c>
      <c r="D22" s="38">
        <v>5196</v>
      </c>
      <c r="E22" s="37">
        <f t="shared" si="0"/>
        <v>46271</v>
      </c>
    </row>
    <row r="23" spans="1:5" ht="18" x14ac:dyDescent="0.3">
      <c r="A23" s="54">
        <v>46129</v>
      </c>
      <c r="B23" s="38" t="s">
        <v>246</v>
      </c>
      <c r="C23" s="38">
        <v>781</v>
      </c>
      <c r="D23" s="38">
        <v>4942.5</v>
      </c>
      <c r="E23" s="37">
        <f t="shared" si="0"/>
        <v>46279</v>
      </c>
    </row>
    <row r="24" spans="1:5" ht="18" x14ac:dyDescent="0.3">
      <c r="A24" s="54">
        <v>46135</v>
      </c>
      <c r="B24" s="38" t="s">
        <v>249</v>
      </c>
      <c r="C24" s="38">
        <v>804</v>
      </c>
      <c r="D24" s="38">
        <v>5142.5</v>
      </c>
      <c r="E24" s="37">
        <f t="shared" si="0"/>
        <v>46285</v>
      </c>
    </row>
    <row r="25" spans="1:5" ht="18" x14ac:dyDescent="0.3">
      <c r="A25" s="54">
        <v>46142</v>
      </c>
      <c r="B25" s="38" t="s">
        <v>248</v>
      </c>
      <c r="C25" s="38">
        <v>798</v>
      </c>
      <c r="D25" s="38">
        <v>5237</v>
      </c>
      <c r="E25" s="37">
        <f t="shared" si="0"/>
        <v>46292</v>
      </c>
    </row>
    <row r="26" spans="1:5" ht="18" x14ac:dyDescent="0.3">
      <c r="A26" s="56">
        <v>46149</v>
      </c>
      <c r="B26" s="47" t="s">
        <v>280</v>
      </c>
      <c r="C26" s="47">
        <v>493</v>
      </c>
      <c r="D26" s="47">
        <v>3216</v>
      </c>
      <c r="E26" s="46">
        <f t="shared" si="0"/>
        <v>46299</v>
      </c>
    </row>
    <row r="27" spans="1:5" ht="18" x14ac:dyDescent="0.3">
      <c r="A27" s="56">
        <v>46156</v>
      </c>
      <c r="B27" s="47" t="s">
        <v>413</v>
      </c>
      <c r="C27" s="47">
        <v>704</v>
      </c>
      <c r="D27" s="47">
        <v>4479.5</v>
      </c>
      <c r="E27" s="46">
        <f>+A27+$E$2</f>
        <v>46306</v>
      </c>
    </row>
  </sheetData>
  <mergeCells count="2">
    <mergeCell ref="A1:E1"/>
    <mergeCell ref="B2:D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3D07-3DCB-4D78-8032-5B68D3C402EE}">
  <dimension ref="A1:C28"/>
  <sheetViews>
    <sheetView workbookViewId="0">
      <selection activeCell="G18" sqref="G18"/>
    </sheetView>
  </sheetViews>
  <sheetFormatPr baseColWidth="10" defaultRowHeight="14.4" x14ac:dyDescent="0.3"/>
  <cols>
    <col min="1" max="1" width="31.88671875" bestFit="1" customWidth="1"/>
  </cols>
  <sheetData>
    <row r="1" spans="1:3" ht="15" thickBot="1" x14ac:dyDescent="0.35">
      <c r="A1" s="1" t="s">
        <v>88</v>
      </c>
      <c r="B1" s="2">
        <v>46150</v>
      </c>
    </row>
    <row r="2" spans="1:3" ht="15" thickBot="1" x14ac:dyDescent="0.35">
      <c r="B2" s="4"/>
    </row>
    <row r="3" spans="1:3" ht="15" thickBot="1" x14ac:dyDescent="0.35">
      <c r="B3" s="74" t="s">
        <v>258</v>
      </c>
      <c r="C3" s="75"/>
    </row>
    <row r="4" spans="1:3" ht="15" thickBot="1" x14ac:dyDescent="0.35">
      <c r="B4" s="19" t="s">
        <v>89</v>
      </c>
      <c r="C4" s="14" t="s">
        <v>90</v>
      </c>
    </row>
    <row r="5" spans="1:3" x14ac:dyDescent="0.3">
      <c r="A5" s="6" t="s">
        <v>8</v>
      </c>
      <c r="B5" s="58"/>
      <c r="C5" s="58"/>
    </row>
    <row r="6" spans="1:3" x14ac:dyDescent="0.3">
      <c r="A6" s="6" t="s">
        <v>11</v>
      </c>
      <c r="B6" s="20"/>
      <c r="C6" s="20"/>
    </row>
    <row r="7" spans="1:3" x14ac:dyDescent="0.3">
      <c r="A7" s="6" t="s">
        <v>16</v>
      </c>
      <c r="B7" s="20"/>
      <c r="C7" s="20"/>
    </row>
    <row r="8" spans="1:3" x14ac:dyDescent="0.3">
      <c r="A8" s="6" t="s">
        <v>19</v>
      </c>
      <c r="B8" s="20">
        <f>SUM(Tabla1[UNIDADES])</f>
        <v>24251</v>
      </c>
      <c r="C8" s="20">
        <f>SUM(Tabla1[KILOS])</f>
        <v>282947.09999999998</v>
      </c>
    </row>
    <row r="9" spans="1:3" x14ac:dyDescent="0.3">
      <c r="A9" s="5" t="s">
        <v>22</v>
      </c>
      <c r="B9" s="20"/>
      <c r="C9" s="20"/>
    </row>
    <row r="10" spans="1:3" x14ac:dyDescent="0.3">
      <c r="A10" s="6" t="s">
        <v>25</v>
      </c>
      <c r="B10" s="20">
        <f>SUM(Tabla4[UNIDADES])</f>
        <v>1119</v>
      </c>
      <c r="C10" s="20">
        <f>SUM(Tabla4[KILOS])</f>
        <v>13150</v>
      </c>
    </row>
    <row r="11" spans="1:3" x14ac:dyDescent="0.3">
      <c r="A11" s="6" t="s">
        <v>29</v>
      </c>
      <c r="B11" s="20">
        <f>SUM(Tabla9[UNIDADES])</f>
        <v>15639</v>
      </c>
      <c r="C11" s="20">
        <f>SUM(Tabla9[KILOS])</f>
        <v>97663</v>
      </c>
    </row>
    <row r="12" spans="1:3" x14ac:dyDescent="0.3">
      <c r="A12" s="6" t="s">
        <v>41</v>
      </c>
      <c r="B12" s="20"/>
      <c r="C12" s="20"/>
    </row>
    <row r="13" spans="1:3" x14ac:dyDescent="0.3">
      <c r="A13" s="6" t="s">
        <v>44</v>
      </c>
      <c r="B13" s="20"/>
      <c r="C13" s="20"/>
    </row>
    <row r="14" spans="1:3" x14ac:dyDescent="0.3">
      <c r="A14" s="5" t="s">
        <v>49</v>
      </c>
      <c r="B14" s="20">
        <f>SUM(Tabla7[UNIDADES])</f>
        <v>1345</v>
      </c>
      <c r="C14" s="20">
        <f>SUM(Tabla7[KILOS])</f>
        <v>2924.7</v>
      </c>
    </row>
    <row r="15" spans="1:3" x14ac:dyDescent="0.3">
      <c r="A15" s="6" t="s">
        <v>51</v>
      </c>
      <c r="B15" s="20"/>
      <c r="C15" s="20"/>
    </row>
    <row r="16" spans="1:3" x14ac:dyDescent="0.3">
      <c r="A16" s="6" t="s">
        <v>54</v>
      </c>
      <c r="B16" s="20"/>
      <c r="C16" s="20"/>
    </row>
    <row r="17" spans="1:3" x14ac:dyDescent="0.3">
      <c r="A17" s="6" t="s">
        <v>56</v>
      </c>
      <c r="B17" s="20">
        <f>SUM(Tabla8[UNIDADES])</f>
        <v>202</v>
      </c>
      <c r="C17" s="20">
        <f>SUM(Tabla8[KILOS])</f>
        <v>484</v>
      </c>
    </row>
    <row r="18" spans="1:3" x14ac:dyDescent="0.3">
      <c r="A18" s="6" t="s">
        <v>59</v>
      </c>
      <c r="B18" s="20"/>
      <c r="C18" s="20"/>
    </row>
    <row r="19" spans="1:3" x14ac:dyDescent="0.3">
      <c r="A19" s="6" t="s">
        <v>60</v>
      </c>
      <c r="B19" s="20" cm="1">
        <f t="array" ref="B19">+Tabla6[UNIDADES]</f>
        <v>99</v>
      </c>
      <c r="C19" s="20" cm="1">
        <f t="array" ref="C19">+Tabla6[KILOS]</f>
        <v>349</v>
      </c>
    </row>
    <row r="20" spans="1:3" x14ac:dyDescent="0.3">
      <c r="A20" s="6" t="s">
        <v>16</v>
      </c>
      <c r="B20" s="20"/>
      <c r="C20" s="20"/>
    </row>
    <row r="21" spans="1:3" x14ac:dyDescent="0.3">
      <c r="A21" s="8" t="s">
        <v>61</v>
      </c>
      <c r="B21" s="20"/>
      <c r="C21" s="20"/>
    </row>
    <row r="22" spans="1:3" x14ac:dyDescent="0.3">
      <c r="A22" s="5" t="s">
        <v>65</v>
      </c>
      <c r="B22" s="20"/>
      <c r="C22" s="20"/>
    </row>
    <row r="23" spans="1:3" x14ac:dyDescent="0.3">
      <c r="A23" s="5" t="s">
        <v>67</v>
      </c>
      <c r="B23" s="20"/>
      <c r="C23" s="20"/>
    </row>
    <row r="24" spans="1:3" x14ac:dyDescent="0.3">
      <c r="A24" s="5" t="s">
        <v>73</v>
      </c>
      <c r="B24" s="20"/>
      <c r="C24" s="20"/>
    </row>
    <row r="25" spans="1:3" x14ac:dyDescent="0.3">
      <c r="A25" s="5" t="s">
        <v>76</v>
      </c>
      <c r="B25" s="20"/>
      <c r="C25" s="20"/>
    </row>
    <row r="26" spans="1:3" x14ac:dyDescent="0.3">
      <c r="A26" s="5" t="s">
        <v>102</v>
      </c>
      <c r="B26" s="20">
        <f>SUM(Tabla5[UNIDADES])</f>
        <v>31258</v>
      </c>
      <c r="C26" s="20">
        <f>SUM(Tabla5[KILOS])</f>
        <v>8497</v>
      </c>
    </row>
    <row r="27" spans="1:3" x14ac:dyDescent="0.3">
      <c r="A27" s="5" t="s">
        <v>79</v>
      </c>
      <c r="B27" s="20"/>
      <c r="C27" s="20"/>
    </row>
    <row r="28" spans="1:3" ht="15" thickBot="1" x14ac:dyDescent="0.35">
      <c r="A28" s="5" t="s">
        <v>82</v>
      </c>
      <c r="B28" s="21"/>
      <c r="C28" s="21"/>
    </row>
  </sheetData>
  <mergeCells count="1">
    <mergeCell ref="B3: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0597-8611-4E1F-92F7-D4B74A3CDBBC}">
  <dimension ref="A1:G249"/>
  <sheetViews>
    <sheetView workbookViewId="0">
      <selection activeCell="J17" sqref="J17"/>
    </sheetView>
  </sheetViews>
  <sheetFormatPr baseColWidth="10" defaultRowHeight="14.4" x14ac:dyDescent="0.3"/>
  <cols>
    <col min="1" max="1" width="19.44140625" bestFit="1" customWidth="1"/>
    <col min="3" max="3" width="11.6640625" customWidth="1"/>
    <col min="7" max="7" width="11.77734375" customWidth="1"/>
  </cols>
  <sheetData>
    <row r="1" spans="1:6" ht="15" thickBot="1" x14ac:dyDescent="0.35">
      <c r="A1" s="1" t="s">
        <v>88</v>
      </c>
      <c r="B1" s="2">
        <v>46142</v>
      </c>
    </row>
    <row r="2" spans="1:6" x14ac:dyDescent="0.3">
      <c r="A2" s="3"/>
      <c r="B2" s="4"/>
    </row>
    <row r="3" spans="1:6" x14ac:dyDescent="0.3">
      <c r="B3" s="5" t="s">
        <v>89</v>
      </c>
      <c r="C3" s="1" t="s">
        <v>90</v>
      </c>
    </row>
    <row r="4" spans="1:6" x14ac:dyDescent="0.3">
      <c r="A4" s="6" t="s">
        <v>233</v>
      </c>
      <c r="B4" s="7">
        <f>SUMIF($A$24:$A$2001,"JAMON C/H C/PEZUÑA",$C$24:$C$2001)</f>
        <v>89</v>
      </c>
      <c r="C4" s="7">
        <f>SUMIF($A$24:$A$2001,"JAMON C/H C/PEZUÑA",$F$24:$F$2001)</f>
        <v>758.3</v>
      </c>
    </row>
    <row r="5" spans="1:6" x14ac:dyDescent="0.3">
      <c r="A5" s="6" t="s">
        <v>91</v>
      </c>
      <c r="B5" s="7">
        <f>SUMIF($A$24:$A$2001,"ORIGINAL",$C$24:$C$2001)</f>
        <v>511</v>
      </c>
      <c r="C5" s="7">
        <f>SUMIF($A$24:$A$2001,"ORIGINAL",$F$24:$F$2001)</f>
        <v>2601.5</v>
      </c>
    </row>
    <row r="6" spans="1:6" x14ac:dyDescent="0.3">
      <c r="A6" s="6" t="s">
        <v>92</v>
      </c>
      <c r="B6" s="7"/>
      <c r="C6" s="7"/>
    </row>
    <row r="7" spans="1:6" x14ac:dyDescent="0.3">
      <c r="A7" s="6" t="s">
        <v>93</v>
      </c>
      <c r="B7" s="7">
        <f>SUMIF($A$24:$A$2001,"PARMA",$C$24:$C$2001)</f>
        <v>6559</v>
      </c>
      <c r="C7" s="7">
        <f>SUMIF($A$24:$A$2001,"PARMA",$F$24:$F$2001)</f>
        <v>37767.5</v>
      </c>
      <c r="F7" s="23"/>
    </row>
    <row r="8" spans="1:6" x14ac:dyDescent="0.3">
      <c r="A8" s="5" t="s">
        <v>94</v>
      </c>
      <c r="B8" s="7"/>
      <c r="C8" s="7"/>
    </row>
    <row r="9" spans="1:6" x14ac:dyDescent="0.3">
      <c r="A9" s="6" t="s">
        <v>95</v>
      </c>
      <c r="B9" s="7">
        <f>SUMIF($A$24:$A$2001,"RENDIDOR",$C$24:$C$2001)</f>
        <v>2722</v>
      </c>
      <c r="C9" s="7">
        <f>SUMIF($A$24:$A$2001,"RENDIDOR",$F$24:$F$2001)</f>
        <v>12782</v>
      </c>
    </row>
    <row r="10" spans="1:6" x14ac:dyDescent="0.3">
      <c r="A10" s="6" t="s">
        <v>96</v>
      </c>
      <c r="B10" s="7"/>
      <c r="C10" s="7"/>
    </row>
    <row r="11" spans="1:6" x14ac:dyDescent="0.3">
      <c r="A11" s="6" t="s">
        <v>97</v>
      </c>
      <c r="B11" s="7">
        <f>SUMIF($A$24:$A$2001,"PERNIL",$C$24:$C$2001)</f>
        <v>169</v>
      </c>
      <c r="C11" s="7">
        <f>SUMIF($A$24:$A$2001,"PERNIL",$F$24:$F$2001)</f>
        <v>645</v>
      </c>
    </row>
    <row r="12" spans="1:6" x14ac:dyDescent="0.3">
      <c r="A12" s="6" t="s">
        <v>98</v>
      </c>
      <c r="B12" s="7">
        <f>SUMIF($A$24:$A$2001,"Pernil Mitades",$C$24:$C$2001)</f>
        <v>0</v>
      </c>
      <c r="C12" s="7">
        <f>SUMIF($A$24:$A$2001,"Pernil Mitades",$F$24:$F$2001)</f>
        <v>0</v>
      </c>
    </row>
    <row r="13" spans="1:6" x14ac:dyDescent="0.3">
      <c r="A13" s="5" t="s">
        <v>99</v>
      </c>
      <c r="B13" s="7">
        <f>SUMIF($A$24:$A$2001,"SPECK",$C$24:$C$2001)</f>
        <v>1004</v>
      </c>
      <c r="C13" s="7">
        <f>SUMIF($A$24:$A$2001,"SPECK",$F$24:$F$2001)</f>
        <v>4176</v>
      </c>
    </row>
    <row r="14" spans="1:6" x14ac:dyDescent="0.3">
      <c r="A14" s="6" t="s">
        <v>100</v>
      </c>
      <c r="B14" s="7">
        <f>SUMIF($A$24:$A$2001,"BONDIOLA",$C$24:$C$2001)</f>
        <v>11429</v>
      </c>
      <c r="C14" s="7">
        <f>SUMIF($A$24:$A$2001,"BONDIOLA",$F$24:$F$2001)</f>
        <v>15263.5</v>
      </c>
    </row>
    <row r="15" spans="1:6" x14ac:dyDescent="0.3">
      <c r="A15" s="6" t="s">
        <v>101</v>
      </c>
      <c r="B15" s="7"/>
      <c r="C15" s="7"/>
    </row>
    <row r="16" spans="1:6" x14ac:dyDescent="0.3">
      <c r="A16" s="6" t="s">
        <v>102</v>
      </c>
      <c r="B16" s="7"/>
      <c r="C16" s="7"/>
    </row>
    <row r="17" spans="1:7" x14ac:dyDescent="0.3">
      <c r="A17" s="6" t="s">
        <v>103</v>
      </c>
      <c r="B17" s="7"/>
      <c r="C17" s="7"/>
    </row>
    <row r="18" spans="1:7" x14ac:dyDescent="0.3">
      <c r="A18" s="6" t="s">
        <v>104</v>
      </c>
      <c r="B18" s="7"/>
      <c r="C18" s="7"/>
    </row>
    <row r="19" spans="1:7" x14ac:dyDescent="0.3">
      <c r="A19" s="8" t="s">
        <v>105</v>
      </c>
      <c r="B19" s="7"/>
      <c r="C19" s="7"/>
    </row>
    <row r="20" spans="1:7" x14ac:dyDescent="0.3">
      <c r="A20" s="5" t="s">
        <v>106</v>
      </c>
      <c r="B20" s="7"/>
      <c r="C20" s="7"/>
    </row>
    <row r="21" spans="1:7" x14ac:dyDescent="0.3">
      <c r="A21" s="5" t="s">
        <v>107</v>
      </c>
      <c r="B21" s="7"/>
      <c r="C21" s="7"/>
    </row>
    <row r="23" spans="1:7" ht="15.6" x14ac:dyDescent="0.3">
      <c r="A23" s="12" t="s">
        <v>108</v>
      </c>
      <c r="B23" s="12" t="s">
        <v>5</v>
      </c>
      <c r="C23" s="12" t="s">
        <v>89</v>
      </c>
      <c r="D23" s="12" t="s">
        <v>109</v>
      </c>
      <c r="E23" s="12" t="s">
        <v>110</v>
      </c>
      <c r="F23" s="12" t="s">
        <v>111</v>
      </c>
      <c r="G23" s="12" t="s">
        <v>112</v>
      </c>
    </row>
    <row r="24" spans="1:7" x14ac:dyDescent="0.3">
      <c r="A24" s="27" t="s">
        <v>86</v>
      </c>
      <c r="B24" s="24" t="s">
        <v>113</v>
      </c>
      <c r="C24" s="24">
        <v>77</v>
      </c>
      <c r="D24" s="25">
        <v>462</v>
      </c>
      <c r="E24" s="25">
        <v>32</v>
      </c>
      <c r="F24" s="25">
        <f>+D24-E24</f>
        <v>430</v>
      </c>
      <c r="G24" s="26">
        <v>45404</v>
      </c>
    </row>
    <row r="25" spans="1:7" x14ac:dyDescent="0.3">
      <c r="A25" s="27" t="s">
        <v>86</v>
      </c>
      <c r="B25" s="24" t="s">
        <v>113</v>
      </c>
      <c r="C25" s="24">
        <v>69</v>
      </c>
      <c r="D25" s="25">
        <v>425</v>
      </c>
      <c r="E25" s="25">
        <v>32</v>
      </c>
      <c r="F25" s="25">
        <f>+D25-E25</f>
        <v>393</v>
      </c>
      <c r="G25" s="26">
        <v>45404</v>
      </c>
    </row>
    <row r="26" spans="1:7" x14ac:dyDescent="0.3">
      <c r="A26" s="24" t="s">
        <v>86</v>
      </c>
      <c r="B26" s="24" t="s">
        <v>114</v>
      </c>
      <c r="C26" s="24">
        <v>43</v>
      </c>
      <c r="D26" s="25">
        <v>263</v>
      </c>
      <c r="E26" s="25">
        <v>32</v>
      </c>
      <c r="F26" s="25">
        <f>+D26-E26</f>
        <v>231</v>
      </c>
      <c r="G26" s="26">
        <v>45426</v>
      </c>
    </row>
    <row r="27" spans="1:7" x14ac:dyDescent="0.3">
      <c r="A27" s="24" t="s">
        <v>86</v>
      </c>
      <c r="B27" s="24" t="s">
        <v>116</v>
      </c>
      <c r="C27" s="24">
        <v>68</v>
      </c>
      <c r="D27" s="25">
        <v>427</v>
      </c>
      <c r="E27" s="25">
        <v>32</v>
      </c>
      <c r="F27" s="25">
        <v>395</v>
      </c>
      <c r="G27" s="26">
        <v>45439</v>
      </c>
    </row>
    <row r="28" spans="1:7" x14ac:dyDescent="0.3">
      <c r="A28" s="24" t="s">
        <v>86</v>
      </c>
      <c r="B28" s="24" t="s">
        <v>117</v>
      </c>
      <c r="C28" s="24">
        <v>66</v>
      </c>
      <c r="D28" s="25">
        <v>407</v>
      </c>
      <c r="E28" s="25">
        <v>32</v>
      </c>
      <c r="F28" s="25">
        <v>375</v>
      </c>
      <c r="G28" s="26">
        <v>45439</v>
      </c>
    </row>
    <row r="29" spans="1:7" x14ac:dyDescent="0.3">
      <c r="A29" s="24" t="s">
        <v>86</v>
      </c>
      <c r="B29" s="24" t="s">
        <v>117</v>
      </c>
      <c r="C29" s="24">
        <v>66</v>
      </c>
      <c r="D29" s="25">
        <v>417</v>
      </c>
      <c r="E29" s="25">
        <v>32</v>
      </c>
      <c r="F29" s="25">
        <v>385</v>
      </c>
      <c r="G29" s="26">
        <v>45439</v>
      </c>
    </row>
    <row r="30" spans="1:7" x14ac:dyDescent="0.3">
      <c r="A30" s="24" t="s">
        <v>86</v>
      </c>
      <c r="B30" s="24" t="s">
        <v>118</v>
      </c>
      <c r="C30" s="24">
        <v>58</v>
      </c>
      <c r="D30" s="25">
        <v>354</v>
      </c>
      <c r="E30" s="25">
        <v>32</v>
      </c>
      <c r="F30" s="25">
        <v>322</v>
      </c>
      <c r="G30" s="26">
        <v>45440</v>
      </c>
    </row>
    <row r="31" spans="1:7" x14ac:dyDescent="0.3">
      <c r="A31" s="24" t="s">
        <v>86</v>
      </c>
      <c r="B31" s="24" t="s">
        <v>119</v>
      </c>
      <c r="C31" s="24">
        <v>57</v>
      </c>
      <c r="D31" s="25">
        <v>298</v>
      </c>
      <c r="E31" s="25">
        <v>32</v>
      </c>
      <c r="F31" s="25">
        <v>266</v>
      </c>
      <c r="G31" s="26">
        <v>45440</v>
      </c>
    </row>
    <row r="32" spans="1:7" x14ac:dyDescent="0.3">
      <c r="A32" s="24" t="s">
        <v>86</v>
      </c>
      <c r="B32" s="24" t="s">
        <v>120</v>
      </c>
      <c r="C32" s="24">
        <v>61</v>
      </c>
      <c r="D32" s="25">
        <v>363</v>
      </c>
      <c r="E32" s="25">
        <v>32</v>
      </c>
      <c r="F32" s="25">
        <v>331</v>
      </c>
      <c r="G32" s="26">
        <v>45446</v>
      </c>
    </row>
    <row r="33" spans="1:7" x14ac:dyDescent="0.3">
      <c r="A33" s="24" t="s">
        <v>86</v>
      </c>
      <c r="B33" s="24" t="s">
        <v>121</v>
      </c>
      <c r="C33" s="24">
        <v>67</v>
      </c>
      <c r="D33" s="25">
        <v>356</v>
      </c>
      <c r="E33" s="25">
        <v>32</v>
      </c>
      <c r="F33" s="25">
        <v>324</v>
      </c>
      <c r="G33" s="26">
        <v>45446</v>
      </c>
    </row>
    <row r="34" spans="1:7" x14ac:dyDescent="0.3">
      <c r="A34" s="24" t="s">
        <v>86</v>
      </c>
      <c r="B34" s="24" t="s">
        <v>122</v>
      </c>
      <c r="C34" s="24">
        <v>69</v>
      </c>
      <c r="D34" s="25">
        <v>416</v>
      </c>
      <c r="E34" s="25">
        <v>32</v>
      </c>
      <c r="F34" s="25">
        <v>384</v>
      </c>
      <c r="G34" s="26">
        <v>45453</v>
      </c>
    </row>
    <row r="35" spans="1:7" x14ac:dyDescent="0.3">
      <c r="A35" s="24" t="s">
        <v>86</v>
      </c>
      <c r="B35" s="24" t="s">
        <v>122</v>
      </c>
      <c r="C35" s="24">
        <v>69</v>
      </c>
      <c r="D35" s="25">
        <v>389</v>
      </c>
      <c r="E35" s="25">
        <v>32</v>
      </c>
      <c r="F35" s="25">
        <v>357</v>
      </c>
      <c r="G35" s="26">
        <v>45453</v>
      </c>
    </row>
    <row r="36" spans="1:7" x14ac:dyDescent="0.3">
      <c r="A36" s="24" t="s">
        <v>86</v>
      </c>
      <c r="B36" s="24" t="s">
        <v>123</v>
      </c>
      <c r="C36" s="24">
        <v>69</v>
      </c>
      <c r="D36" s="25">
        <v>416</v>
      </c>
      <c r="E36" s="25">
        <v>32</v>
      </c>
      <c r="F36" s="25">
        <f t="shared" ref="F36:F75" si="0">+D36-E36</f>
        <v>384</v>
      </c>
      <c r="G36" s="26">
        <v>45453</v>
      </c>
    </row>
    <row r="37" spans="1:7" x14ac:dyDescent="0.3">
      <c r="A37" s="24" t="s">
        <v>86</v>
      </c>
      <c r="B37" s="24" t="s">
        <v>124</v>
      </c>
      <c r="C37" s="24">
        <v>62</v>
      </c>
      <c r="D37" s="25">
        <v>380</v>
      </c>
      <c r="E37" s="25">
        <v>32</v>
      </c>
      <c r="F37" s="25">
        <f t="shared" si="0"/>
        <v>348</v>
      </c>
      <c r="G37" s="26">
        <v>45454</v>
      </c>
    </row>
    <row r="38" spans="1:7" x14ac:dyDescent="0.3">
      <c r="A38" s="24" t="s">
        <v>86</v>
      </c>
      <c r="B38" s="24" t="s">
        <v>124</v>
      </c>
      <c r="C38" s="24">
        <v>62</v>
      </c>
      <c r="D38" s="25">
        <v>377</v>
      </c>
      <c r="E38" s="25">
        <v>32</v>
      </c>
      <c r="F38" s="25">
        <f t="shared" si="0"/>
        <v>345</v>
      </c>
      <c r="G38" s="26">
        <v>45454</v>
      </c>
    </row>
    <row r="39" spans="1:7" x14ac:dyDescent="0.3">
      <c r="A39" s="24" t="s">
        <v>86</v>
      </c>
      <c r="B39" s="24" t="s">
        <v>125</v>
      </c>
      <c r="C39" s="24">
        <v>53</v>
      </c>
      <c r="D39" s="25">
        <v>309</v>
      </c>
      <c r="E39" s="25">
        <v>32</v>
      </c>
      <c r="F39" s="25">
        <f t="shared" si="0"/>
        <v>277</v>
      </c>
      <c r="G39" s="26">
        <v>45454</v>
      </c>
    </row>
    <row r="40" spans="1:7" x14ac:dyDescent="0.3">
      <c r="A40" s="24" t="s">
        <v>86</v>
      </c>
      <c r="B40" s="24" t="s">
        <v>126</v>
      </c>
      <c r="C40" s="24">
        <v>53</v>
      </c>
      <c r="D40" s="25">
        <v>336</v>
      </c>
      <c r="E40" s="25">
        <v>32</v>
      </c>
      <c r="F40" s="25">
        <f t="shared" si="0"/>
        <v>304</v>
      </c>
      <c r="G40" s="26">
        <v>45454</v>
      </c>
    </row>
    <row r="41" spans="1:7" x14ac:dyDescent="0.3">
      <c r="A41" s="24" t="s">
        <v>86</v>
      </c>
      <c r="B41" s="24" t="s">
        <v>127</v>
      </c>
      <c r="C41" s="24">
        <v>70</v>
      </c>
      <c r="D41" s="25">
        <v>453</v>
      </c>
      <c r="E41" s="25">
        <v>32</v>
      </c>
      <c r="F41" s="25">
        <f t="shared" si="0"/>
        <v>421</v>
      </c>
      <c r="G41" s="26">
        <v>45495</v>
      </c>
    </row>
    <row r="42" spans="1:7" x14ac:dyDescent="0.3">
      <c r="A42" s="24" t="s">
        <v>86</v>
      </c>
      <c r="B42" s="24" t="s">
        <v>128</v>
      </c>
      <c r="C42" s="24">
        <v>75</v>
      </c>
      <c r="D42" s="25">
        <v>427</v>
      </c>
      <c r="E42" s="25">
        <v>32</v>
      </c>
      <c r="F42" s="25">
        <f t="shared" si="0"/>
        <v>395</v>
      </c>
      <c r="G42" s="26">
        <v>45505</v>
      </c>
    </row>
    <row r="43" spans="1:7" x14ac:dyDescent="0.3">
      <c r="A43" s="24" t="s">
        <v>86</v>
      </c>
      <c r="B43" s="24" t="s">
        <v>129</v>
      </c>
      <c r="C43" s="24">
        <v>62</v>
      </c>
      <c r="D43" s="25">
        <v>376</v>
      </c>
      <c r="E43" s="25">
        <v>32</v>
      </c>
      <c r="F43" s="25">
        <f t="shared" si="0"/>
        <v>344</v>
      </c>
      <c r="G43" s="26">
        <v>45505</v>
      </c>
    </row>
    <row r="44" spans="1:7" x14ac:dyDescent="0.3">
      <c r="A44" s="24" t="s">
        <v>86</v>
      </c>
      <c r="B44" s="24" t="s">
        <v>27</v>
      </c>
      <c r="C44" s="24">
        <v>55</v>
      </c>
      <c r="D44" s="25">
        <v>392</v>
      </c>
      <c r="E44" s="25">
        <v>32</v>
      </c>
      <c r="F44" s="25">
        <f t="shared" si="0"/>
        <v>360</v>
      </c>
      <c r="G44" s="26">
        <v>45505</v>
      </c>
    </row>
    <row r="45" spans="1:7" x14ac:dyDescent="0.3">
      <c r="A45" s="24" t="s">
        <v>86</v>
      </c>
      <c r="B45" s="24" t="s">
        <v>130</v>
      </c>
      <c r="C45" s="24">
        <v>66</v>
      </c>
      <c r="D45" s="25">
        <v>392</v>
      </c>
      <c r="E45" s="25">
        <v>32</v>
      </c>
      <c r="F45" s="25">
        <f t="shared" si="0"/>
        <v>360</v>
      </c>
      <c r="G45" s="26">
        <v>45506</v>
      </c>
    </row>
    <row r="46" spans="1:7" x14ac:dyDescent="0.3">
      <c r="A46" s="24" t="s">
        <v>86</v>
      </c>
      <c r="B46" s="24" t="s">
        <v>130</v>
      </c>
      <c r="C46" s="24">
        <v>66</v>
      </c>
      <c r="D46" s="25">
        <v>394</v>
      </c>
      <c r="E46" s="25">
        <v>32</v>
      </c>
      <c r="F46" s="25">
        <f t="shared" si="0"/>
        <v>362</v>
      </c>
      <c r="G46" s="26">
        <v>45506</v>
      </c>
    </row>
    <row r="47" spans="1:7" x14ac:dyDescent="0.3">
      <c r="A47" s="24" t="s">
        <v>86</v>
      </c>
      <c r="B47" s="24" t="s">
        <v>130</v>
      </c>
      <c r="C47" s="24">
        <v>66</v>
      </c>
      <c r="D47" s="25">
        <v>384</v>
      </c>
      <c r="E47" s="25">
        <v>32</v>
      </c>
      <c r="F47" s="25">
        <f t="shared" si="0"/>
        <v>352</v>
      </c>
      <c r="G47" s="26">
        <v>45509</v>
      </c>
    </row>
    <row r="48" spans="1:7" x14ac:dyDescent="0.3">
      <c r="A48" s="24" t="s">
        <v>86</v>
      </c>
      <c r="B48" s="24" t="s">
        <v>130</v>
      </c>
      <c r="C48" s="24">
        <v>76</v>
      </c>
      <c r="D48" s="25">
        <v>436</v>
      </c>
      <c r="E48" s="25">
        <v>32</v>
      </c>
      <c r="F48" s="25">
        <f t="shared" si="0"/>
        <v>404</v>
      </c>
      <c r="G48" s="26">
        <v>45509</v>
      </c>
    </row>
    <row r="49" spans="1:7" x14ac:dyDescent="0.3">
      <c r="A49" s="24" t="s">
        <v>86</v>
      </c>
      <c r="B49" s="24" t="s">
        <v>131</v>
      </c>
      <c r="C49" s="24">
        <v>66</v>
      </c>
      <c r="D49" s="25">
        <v>438.5</v>
      </c>
      <c r="E49" s="25">
        <v>40</v>
      </c>
      <c r="F49" s="25">
        <f t="shared" si="0"/>
        <v>398.5</v>
      </c>
      <c r="G49" s="26">
        <v>45513</v>
      </c>
    </row>
    <row r="50" spans="1:7" x14ac:dyDescent="0.3">
      <c r="A50" s="24" t="s">
        <v>86</v>
      </c>
      <c r="B50" s="24" t="s">
        <v>131</v>
      </c>
      <c r="C50" s="24">
        <v>66</v>
      </c>
      <c r="D50" s="25">
        <v>477.5</v>
      </c>
      <c r="E50" s="25">
        <v>40</v>
      </c>
      <c r="F50" s="25">
        <f t="shared" si="0"/>
        <v>437.5</v>
      </c>
      <c r="G50" s="26">
        <v>45513</v>
      </c>
    </row>
    <row r="51" spans="1:7" x14ac:dyDescent="0.3">
      <c r="A51" s="24" t="s">
        <v>86</v>
      </c>
      <c r="B51" s="24" t="s">
        <v>131</v>
      </c>
      <c r="C51" s="24">
        <v>53</v>
      </c>
      <c r="D51" s="25">
        <v>389.5</v>
      </c>
      <c r="E51" s="25">
        <v>40</v>
      </c>
      <c r="F51" s="25">
        <f t="shared" si="0"/>
        <v>349.5</v>
      </c>
      <c r="G51" s="26">
        <v>45513</v>
      </c>
    </row>
    <row r="52" spans="1:7" x14ac:dyDescent="0.3">
      <c r="A52" s="24" t="s">
        <v>86</v>
      </c>
      <c r="B52" s="24" t="s">
        <v>132</v>
      </c>
      <c r="C52" s="24">
        <v>66</v>
      </c>
      <c r="D52" s="25">
        <v>399</v>
      </c>
      <c r="E52" s="25">
        <v>40</v>
      </c>
      <c r="F52" s="25">
        <f t="shared" si="0"/>
        <v>359</v>
      </c>
      <c r="G52" s="26">
        <v>45516</v>
      </c>
    </row>
    <row r="53" spans="1:7" x14ac:dyDescent="0.3">
      <c r="A53" s="24" t="s">
        <v>86</v>
      </c>
      <c r="B53" s="24" t="s">
        <v>133</v>
      </c>
      <c r="C53" s="24">
        <f>20+66</f>
        <v>86</v>
      </c>
      <c r="D53" s="25">
        <f>313+99+40</f>
        <v>452</v>
      </c>
      <c r="E53" s="25">
        <v>40</v>
      </c>
      <c r="F53" s="25">
        <f t="shared" si="0"/>
        <v>412</v>
      </c>
      <c r="G53" s="26">
        <v>45516</v>
      </c>
    </row>
    <row r="54" spans="1:7" x14ac:dyDescent="0.3">
      <c r="A54" s="24" t="s">
        <v>86</v>
      </c>
      <c r="B54" s="24" t="s">
        <v>134</v>
      </c>
      <c r="C54" s="24">
        <v>30</v>
      </c>
      <c r="D54" s="25">
        <v>194</v>
      </c>
      <c r="E54" s="25">
        <v>40</v>
      </c>
      <c r="F54" s="25">
        <f t="shared" si="0"/>
        <v>154</v>
      </c>
      <c r="G54" s="26">
        <v>45516</v>
      </c>
    </row>
    <row r="55" spans="1:7" x14ac:dyDescent="0.3">
      <c r="A55" s="24" t="s">
        <v>86</v>
      </c>
      <c r="B55" s="24" t="s">
        <v>135</v>
      </c>
      <c r="C55" s="24">
        <v>72</v>
      </c>
      <c r="D55" s="25">
        <v>453</v>
      </c>
      <c r="E55" s="25">
        <v>32</v>
      </c>
      <c r="F55" s="25">
        <f t="shared" si="0"/>
        <v>421</v>
      </c>
      <c r="G55" s="26">
        <v>45517</v>
      </c>
    </row>
    <row r="56" spans="1:7" x14ac:dyDescent="0.3">
      <c r="A56" s="24" t="s">
        <v>86</v>
      </c>
      <c r="B56" s="24" t="s">
        <v>135</v>
      </c>
      <c r="C56" s="24">
        <v>72</v>
      </c>
      <c r="D56" s="25">
        <v>465</v>
      </c>
      <c r="E56" s="25">
        <v>32</v>
      </c>
      <c r="F56" s="25">
        <f t="shared" si="0"/>
        <v>433</v>
      </c>
      <c r="G56" s="26">
        <v>45517</v>
      </c>
    </row>
    <row r="57" spans="1:7" x14ac:dyDescent="0.3">
      <c r="A57" s="24" t="s">
        <v>86</v>
      </c>
      <c r="B57" s="24" t="s">
        <v>136</v>
      </c>
      <c r="C57" s="24">
        <v>66</v>
      </c>
      <c r="D57" s="25">
        <v>434</v>
      </c>
      <c r="E57" s="25">
        <v>32</v>
      </c>
      <c r="F57" s="25">
        <f t="shared" si="0"/>
        <v>402</v>
      </c>
      <c r="G57" s="26">
        <v>45518</v>
      </c>
    </row>
    <row r="58" spans="1:7" x14ac:dyDescent="0.3">
      <c r="A58" s="24" t="s">
        <v>86</v>
      </c>
      <c r="B58" s="24" t="s">
        <v>136</v>
      </c>
      <c r="C58" s="24">
        <v>66</v>
      </c>
      <c r="D58" s="25">
        <v>434</v>
      </c>
      <c r="E58" s="25">
        <v>32</v>
      </c>
      <c r="F58" s="25">
        <f t="shared" si="0"/>
        <v>402</v>
      </c>
      <c r="G58" s="26">
        <v>45519</v>
      </c>
    </row>
    <row r="59" spans="1:7" x14ac:dyDescent="0.3">
      <c r="A59" s="24" t="s">
        <v>86</v>
      </c>
      <c r="B59" s="24" t="s">
        <v>136</v>
      </c>
      <c r="C59" s="24">
        <v>66</v>
      </c>
      <c r="D59" s="25">
        <v>426</v>
      </c>
      <c r="E59" s="25">
        <v>32</v>
      </c>
      <c r="F59" s="25">
        <f t="shared" si="0"/>
        <v>394</v>
      </c>
      <c r="G59" s="26">
        <v>45519</v>
      </c>
    </row>
    <row r="60" spans="1:7" x14ac:dyDescent="0.3">
      <c r="A60" s="24" t="s">
        <v>86</v>
      </c>
      <c r="B60" s="24" t="s">
        <v>136</v>
      </c>
      <c r="C60" s="24">
        <v>66</v>
      </c>
      <c r="D60" s="25">
        <v>431</v>
      </c>
      <c r="E60" s="25">
        <v>40</v>
      </c>
      <c r="F60" s="25">
        <f t="shared" si="0"/>
        <v>391</v>
      </c>
      <c r="G60" s="26">
        <v>45520</v>
      </c>
    </row>
    <row r="61" spans="1:7" x14ac:dyDescent="0.3">
      <c r="A61" s="24" t="s">
        <v>86</v>
      </c>
      <c r="B61" s="24" t="s">
        <v>136</v>
      </c>
      <c r="C61" s="24">
        <v>66</v>
      </c>
      <c r="D61" s="25">
        <v>433</v>
      </c>
      <c r="E61" s="25">
        <v>40</v>
      </c>
      <c r="F61" s="25">
        <f t="shared" si="0"/>
        <v>393</v>
      </c>
      <c r="G61" s="26">
        <v>45520</v>
      </c>
    </row>
    <row r="62" spans="1:7" x14ac:dyDescent="0.3">
      <c r="A62" s="24" t="s">
        <v>86</v>
      </c>
      <c r="B62" s="24" t="s">
        <v>136</v>
      </c>
      <c r="C62" s="24">
        <v>27</v>
      </c>
      <c r="D62" s="25">
        <v>189</v>
      </c>
      <c r="E62" s="25">
        <v>36</v>
      </c>
      <c r="F62" s="25">
        <f t="shared" si="0"/>
        <v>153</v>
      </c>
      <c r="G62" s="26">
        <v>45520</v>
      </c>
    </row>
    <row r="63" spans="1:7" x14ac:dyDescent="0.3">
      <c r="A63" s="24" t="s">
        <v>86</v>
      </c>
      <c r="B63" s="24" t="s">
        <v>137</v>
      </c>
      <c r="C63" s="24">
        <v>66</v>
      </c>
      <c r="D63" s="25">
        <v>379</v>
      </c>
      <c r="E63" s="25">
        <v>36</v>
      </c>
      <c r="F63" s="25">
        <f t="shared" si="0"/>
        <v>343</v>
      </c>
      <c r="G63" s="26">
        <v>45520</v>
      </c>
    </row>
    <row r="64" spans="1:7" x14ac:dyDescent="0.3">
      <c r="A64" s="24" t="s">
        <v>86</v>
      </c>
      <c r="B64" s="24" t="s">
        <v>137</v>
      </c>
      <c r="C64" s="24">
        <v>69</v>
      </c>
      <c r="D64" s="25">
        <v>415</v>
      </c>
      <c r="E64" s="25">
        <v>40</v>
      </c>
      <c r="F64" s="25">
        <f t="shared" si="0"/>
        <v>375</v>
      </c>
      <c r="G64" s="26">
        <v>45520</v>
      </c>
    </row>
    <row r="65" spans="1:7" x14ac:dyDescent="0.3">
      <c r="A65" s="24" t="s">
        <v>86</v>
      </c>
      <c r="B65" s="24" t="s">
        <v>137</v>
      </c>
      <c r="C65" s="24">
        <v>38</v>
      </c>
      <c r="D65" s="25">
        <v>255</v>
      </c>
      <c r="E65" s="25">
        <v>32</v>
      </c>
      <c r="F65" s="25">
        <f t="shared" si="0"/>
        <v>223</v>
      </c>
      <c r="G65" s="26">
        <v>45523</v>
      </c>
    </row>
    <row r="66" spans="1:7" x14ac:dyDescent="0.3">
      <c r="A66" s="24" t="s">
        <v>86</v>
      </c>
      <c r="B66" s="24" t="s">
        <v>138</v>
      </c>
      <c r="C66" s="24">
        <v>62</v>
      </c>
      <c r="D66" s="25">
        <v>379</v>
      </c>
      <c r="E66" s="25">
        <v>32</v>
      </c>
      <c r="F66" s="25">
        <f t="shared" si="0"/>
        <v>347</v>
      </c>
      <c r="G66" s="26">
        <v>45523</v>
      </c>
    </row>
    <row r="67" spans="1:7" x14ac:dyDescent="0.3">
      <c r="A67" s="24" t="s">
        <v>86</v>
      </c>
      <c r="B67" s="24" t="s">
        <v>139</v>
      </c>
      <c r="C67" s="24">
        <v>66</v>
      </c>
      <c r="D67" s="25">
        <v>390.5</v>
      </c>
      <c r="E67" s="25">
        <v>40</v>
      </c>
      <c r="F67" s="25">
        <f t="shared" si="0"/>
        <v>350.5</v>
      </c>
      <c r="G67" s="26">
        <v>45524</v>
      </c>
    </row>
    <row r="68" spans="1:7" x14ac:dyDescent="0.3">
      <c r="A68" s="24" t="s">
        <v>86</v>
      </c>
      <c r="B68" s="24" t="s">
        <v>139</v>
      </c>
      <c r="C68" s="24">
        <v>34</v>
      </c>
      <c r="D68" s="25">
        <v>219</v>
      </c>
      <c r="E68" s="25">
        <v>40</v>
      </c>
      <c r="F68" s="25">
        <f t="shared" si="0"/>
        <v>179</v>
      </c>
      <c r="G68" s="26">
        <v>45524</v>
      </c>
    </row>
    <row r="69" spans="1:7" x14ac:dyDescent="0.3">
      <c r="A69" s="24" t="s">
        <v>86</v>
      </c>
      <c r="B69" s="24" t="s">
        <v>140</v>
      </c>
      <c r="C69" s="24">
        <v>56</v>
      </c>
      <c r="D69" s="25">
        <v>375</v>
      </c>
      <c r="E69" s="25">
        <v>40</v>
      </c>
      <c r="F69" s="25">
        <f t="shared" si="0"/>
        <v>335</v>
      </c>
      <c r="G69" s="26">
        <v>45524</v>
      </c>
    </row>
    <row r="70" spans="1:7" x14ac:dyDescent="0.3">
      <c r="A70" s="24" t="s">
        <v>86</v>
      </c>
      <c r="B70" s="24" t="s">
        <v>140</v>
      </c>
      <c r="C70" s="24">
        <v>55</v>
      </c>
      <c r="D70" s="25">
        <v>406</v>
      </c>
      <c r="E70" s="25">
        <v>32</v>
      </c>
      <c r="F70" s="25">
        <f t="shared" si="0"/>
        <v>374</v>
      </c>
      <c r="G70" s="26">
        <v>45525</v>
      </c>
    </row>
    <row r="71" spans="1:7" x14ac:dyDescent="0.3">
      <c r="A71" s="24" t="s">
        <v>86</v>
      </c>
      <c r="B71" s="24" t="s">
        <v>141</v>
      </c>
      <c r="C71" s="24">
        <v>18</v>
      </c>
      <c r="D71" s="25">
        <v>123</v>
      </c>
      <c r="E71" s="25">
        <v>32</v>
      </c>
      <c r="F71" s="25">
        <f t="shared" si="0"/>
        <v>91</v>
      </c>
      <c r="G71" s="26">
        <v>45525</v>
      </c>
    </row>
    <row r="72" spans="1:7" x14ac:dyDescent="0.3">
      <c r="A72" s="24" t="s">
        <v>86</v>
      </c>
      <c r="B72" s="24" t="s">
        <v>142</v>
      </c>
      <c r="C72" s="24">
        <v>60</v>
      </c>
      <c r="D72" s="25">
        <v>396</v>
      </c>
      <c r="E72" s="25">
        <v>40</v>
      </c>
      <c r="F72" s="25">
        <f t="shared" si="0"/>
        <v>356</v>
      </c>
      <c r="G72" s="26">
        <v>45530</v>
      </c>
    </row>
    <row r="73" spans="1:7" x14ac:dyDescent="0.3">
      <c r="A73" s="24" t="s">
        <v>86</v>
      </c>
      <c r="B73" s="24" t="s">
        <v>142</v>
      </c>
      <c r="C73" s="24">
        <v>60</v>
      </c>
      <c r="D73" s="25">
        <v>388.5</v>
      </c>
      <c r="E73" s="25">
        <v>32</v>
      </c>
      <c r="F73" s="25">
        <f t="shared" si="0"/>
        <v>356.5</v>
      </c>
      <c r="G73" s="26">
        <v>45530</v>
      </c>
    </row>
    <row r="74" spans="1:7" x14ac:dyDescent="0.3">
      <c r="A74" s="24" t="s">
        <v>86</v>
      </c>
      <c r="B74" s="24" t="s">
        <v>143</v>
      </c>
      <c r="C74" s="24">
        <v>66</v>
      </c>
      <c r="D74" s="25">
        <v>447</v>
      </c>
      <c r="E74" s="25">
        <v>40</v>
      </c>
      <c r="F74" s="25">
        <f t="shared" si="0"/>
        <v>407</v>
      </c>
      <c r="G74" s="26">
        <v>45530</v>
      </c>
    </row>
    <row r="75" spans="1:7" x14ac:dyDescent="0.3">
      <c r="A75" s="24" t="s">
        <v>86</v>
      </c>
      <c r="B75" s="24" t="s">
        <v>143</v>
      </c>
      <c r="C75" s="24">
        <v>66</v>
      </c>
      <c r="D75" s="25">
        <v>443.5</v>
      </c>
      <c r="E75" s="25">
        <v>40</v>
      </c>
      <c r="F75" s="25">
        <f t="shared" si="0"/>
        <v>403.5</v>
      </c>
      <c r="G75" s="26">
        <v>45531</v>
      </c>
    </row>
    <row r="76" spans="1:7" x14ac:dyDescent="0.3">
      <c r="A76" s="24" t="s">
        <v>86</v>
      </c>
      <c r="B76" s="24" t="s">
        <v>143</v>
      </c>
      <c r="C76" s="24">
        <v>58</v>
      </c>
      <c r="D76" s="24">
        <v>410.5</v>
      </c>
      <c r="E76" s="24">
        <v>40</v>
      </c>
      <c r="F76" s="24">
        <f>+D76-E76</f>
        <v>370.5</v>
      </c>
      <c r="G76" s="26">
        <v>45538</v>
      </c>
    </row>
    <row r="77" spans="1:7" x14ac:dyDescent="0.3">
      <c r="A77" s="24" t="s">
        <v>86</v>
      </c>
      <c r="B77" s="27" t="s">
        <v>144</v>
      </c>
      <c r="C77" s="24">
        <v>77</v>
      </c>
      <c r="D77" s="25">
        <v>436</v>
      </c>
      <c r="E77" s="25">
        <v>40</v>
      </c>
      <c r="F77" s="25">
        <f>+D77-E77</f>
        <v>396</v>
      </c>
      <c r="G77" s="26">
        <v>45538</v>
      </c>
    </row>
    <row r="78" spans="1:7" x14ac:dyDescent="0.3">
      <c r="A78" s="24" t="s">
        <v>86</v>
      </c>
      <c r="B78" s="24" t="s">
        <v>144</v>
      </c>
      <c r="C78" s="24">
        <v>66</v>
      </c>
      <c r="D78" s="24">
        <v>392</v>
      </c>
      <c r="E78" s="24">
        <v>40</v>
      </c>
      <c r="F78" s="24">
        <f>+D78-E78</f>
        <v>352</v>
      </c>
      <c r="G78" s="26">
        <v>45538</v>
      </c>
    </row>
    <row r="79" spans="1:7" x14ac:dyDescent="0.3">
      <c r="A79" s="24" t="s">
        <v>86</v>
      </c>
      <c r="B79" s="24" t="s">
        <v>145</v>
      </c>
      <c r="C79" s="24">
        <v>77</v>
      </c>
      <c r="D79" s="24">
        <v>477</v>
      </c>
      <c r="E79" s="24">
        <v>40</v>
      </c>
      <c r="F79" s="24">
        <f>+D79-E79</f>
        <v>437</v>
      </c>
      <c r="G79" s="26">
        <v>45539</v>
      </c>
    </row>
    <row r="80" spans="1:7" x14ac:dyDescent="0.3">
      <c r="A80" s="24" t="s">
        <v>86</v>
      </c>
      <c r="B80" s="24" t="s">
        <v>145</v>
      </c>
      <c r="C80" s="24">
        <v>69</v>
      </c>
      <c r="D80" s="24">
        <v>436</v>
      </c>
      <c r="E80" s="24">
        <v>40</v>
      </c>
      <c r="F80" s="24">
        <f>+D80-E80</f>
        <v>396</v>
      </c>
      <c r="G80" s="26">
        <v>45539</v>
      </c>
    </row>
    <row r="81" spans="1:7" x14ac:dyDescent="0.3">
      <c r="A81" s="24" t="s">
        <v>86</v>
      </c>
      <c r="B81" s="24" t="s">
        <v>146</v>
      </c>
      <c r="C81" s="24">
        <v>55</v>
      </c>
      <c r="D81" s="25">
        <v>394</v>
      </c>
      <c r="E81" s="25">
        <v>40</v>
      </c>
      <c r="F81" s="25">
        <v>354</v>
      </c>
      <c r="G81" s="26">
        <v>45544</v>
      </c>
    </row>
    <row r="82" spans="1:7" x14ac:dyDescent="0.3">
      <c r="A82" s="24" t="s">
        <v>86</v>
      </c>
      <c r="B82" s="24" t="s">
        <v>146</v>
      </c>
      <c r="C82" s="24">
        <v>50</v>
      </c>
      <c r="D82" s="25">
        <v>358</v>
      </c>
      <c r="E82" s="25">
        <v>36</v>
      </c>
      <c r="F82" s="25">
        <v>322</v>
      </c>
      <c r="G82" s="26">
        <v>45544</v>
      </c>
    </row>
    <row r="83" spans="1:7" x14ac:dyDescent="0.3">
      <c r="A83" s="27" t="s">
        <v>86</v>
      </c>
      <c r="B83" s="27" t="s">
        <v>147</v>
      </c>
      <c r="C83" s="24">
        <v>55</v>
      </c>
      <c r="D83" s="25">
        <v>406</v>
      </c>
      <c r="E83" s="25">
        <v>40</v>
      </c>
      <c r="F83" s="25">
        <v>366</v>
      </c>
      <c r="G83" s="26">
        <v>45544</v>
      </c>
    </row>
    <row r="84" spans="1:7" x14ac:dyDescent="0.3">
      <c r="A84" s="24" t="s">
        <v>86</v>
      </c>
      <c r="B84" s="24" t="s">
        <v>148</v>
      </c>
      <c r="C84" s="24">
        <v>79</v>
      </c>
      <c r="D84" s="25">
        <v>455</v>
      </c>
      <c r="E84" s="25">
        <v>40</v>
      </c>
      <c r="F84" s="25">
        <v>415</v>
      </c>
      <c r="G84" s="26">
        <v>45545</v>
      </c>
    </row>
    <row r="85" spans="1:7" x14ac:dyDescent="0.3">
      <c r="A85" s="24" t="s">
        <v>86</v>
      </c>
      <c r="B85" s="24" t="s">
        <v>147</v>
      </c>
      <c r="C85" s="24">
        <v>66</v>
      </c>
      <c r="D85" s="25">
        <v>462.5</v>
      </c>
      <c r="E85" s="25">
        <v>40</v>
      </c>
      <c r="F85" s="25">
        <v>422.5</v>
      </c>
      <c r="G85" s="26">
        <v>45545</v>
      </c>
    </row>
    <row r="86" spans="1:7" x14ac:dyDescent="0.3">
      <c r="A86" s="24" t="s">
        <v>86</v>
      </c>
      <c r="B86" s="24" t="s">
        <v>147</v>
      </c>
      <c r="C86" s="24">
        <v>63</v>
      </c>
      <c r="D86" s="25">
        <v>432.5</v>
      </c>
      <c r="E86" s="25">
        <v>40</v>
      </c>
      <c r="F86" s="25">
        <v>392.5</v>
      </c>
      <c r="G86" s="26">
        <v>45545</v>
      </c>
    </row>
    <row r="87" spans="1:7" x14ac:dyDescent="0.3">
      <c r="A87" s="24" t="s">
        <v>86</v>
      </c>
      <c r="B87" s="24" t="s">
        <v>149</v>
      </c>
      <c r="C87" s="24">
        <v>66</v>
      </c>
      <c r="D87" s="24">
        <v>383.5</v>
      </c>
      <c r="E87" s="24">
        <v>40</v>
      </c>
      <c r="F87" s="24">
        <v>343.5</v>
      </c>
      <c r="G87" s="26">
        <v>45545</v>
      </c>
    </row>
    <row r="88" spans="1:7" x14ac:dyDescent="0.3">
      <c r="A88" s="24" t="s">
        <v>86</v>
      </c>
      <c r="B88" s="28" t="s">
        <v>149</v>
      </c>
      <c r="C88" s="24">
        <v>52</v>
      </c>
      <c r="D88" s="24">
        <v>289.5</v>
      </c>
      <c r="E88" s="24">
        <v>40</v>
      </c>
      <c r="F88" s="24">
        <v>249.5</v>
      </c>
      <c r="G88" s="26">
        <v>45545</v>
      </c>
    </row>
    <row r="89" spans="1:7" x14ac:dyDescent="0.3">
      <c r="A89" s="24" t="s">
        <v>86</v>
      </c>
      <c r="B89" s="24" t="s">
        <v>150</v>
      </c>
      <c r="C89" s="24">
        <v>55</v>
      </c>
      <c r="D89" s="25">
        <v>385.5</v>
      </c>
      <c r="E89" s="25">
        <v>40</v>
      </c>
      <c r="F89" s="25">
        <v>345.5</v>
      </c>
      <c r="G89" s="26" t="s">
        <v>151</v>
      </c>
    </row>
    <row r="90" spans="1:7" x14ac:dyDescent="0.3">
      <c r="A90" s="24" t="s">
        <v>86</v>
      </c>
      <c r="B90" s="24" t="s">
        <v>150</v>
      </c>
      <c r="C90" s="24">
        <v>66</v>
      </c>
      <c r="D90" s="25">
        <v>445</v>
      </c>
      <c r="E90" s="25">
        <v>40</v>
      </c>
      <c r="F90" s="25">
        <v>405</v>
      </c>
      <c r="G90" s="26" t="s">
        <v>151</v>
      </c>
    </row>
    <row r="91" spans="1:7" x14ac:dyDescent="0.3">
      <c r="A91" s="24" t="s">
        <v>86</v>
      </c>
      <c r="B91" s="24" t="s">
        <v>147</v>
      </c>
      <c r="C91" s="24">
        <v>52</v>
      </c>
      <c r="D91" s="24">
        <v>319</v>
      </c>
      <c r="E91" s="24">
        <v>40</v>
      </c>
      <c r="F91" s="24">
        <v>279</v>
      </c>
      <c r="G91" s="26">
        <v>45551</v>
      </c>
    </row>
    <row r="92" spans="1:7" x14ac:dyDescent="0.3">
      <c r="A92" s="27" t="s">
        <v>86</v>
      </c>
      <c r="B92" s="24" t="s">
        <v>152</v>
      </c>
      <c r="C92" s="24">
        <v>35</v>
      </c>
      <c r="D92" s="24">
        <v>246.5</v>
      </c>
      <c r="E92" s="24">
        <v>40</v>
      </c>
      <c r="F92" s="24">
        <v>206.5</v>
      </c>
      <c r="G92" s="26">
        <v>45558</v>
      </c>
    </row>
    <row r="93" spans="1:7" x14ac:dyDescent="0.3">
      <c r="A93" s="27" t="s">
        <v>86</v>
      </c>
      <c r="B93" s="27" t="s">
        <v>152</v>
      </c>
      <c r="C93" s="24">
        <v>23</v>
      </c>
      <c r="D93" s="25">
        <v>180</v>
      </c>
      <c r="E93" s="25">
        <v>40</v>
      </c>
      <c r="F93" s="25">
        <v>140</v>
      </c>
      <c r="G93" s="26">
        <v>45568</v>
      </c>
    </row>
    <row r="94" spans="1:7" x14ac:dyDescent="0.3">
      <c r="A94" s="24" t="s">
        <v>86</v>
      </c>
      <c r="B94" s="24" t="s">
        <v>153</v>
      </c>
      <c r="C94" s="24">
        <v>66</v>
      </c>
      <c r="D94" s="25">
        <v>392.5</v>
      </c>
      <c r="E94" s="25">
        <v>32</v>
      </c>
      <c r="F94" s="25">
        <f>+D94-E94</f>
        <v>360.5</v>
      </c>
      <c r="G94" s="26">
        <v>45601</v>
      </c>
    </row>
    <row r="95" spans="1:7" x14ac:dyDescent="0.3">
      <c r="A95" s="24" t="s">
        <v>86</v>
      </c>
      <c r="B95" s="24" t="s">
        <v>153</v>
      </c>
      <c r="C95" s="24">
        <v>32</v>
      </c>
      <c r="D95" s="25">
        <v>214</v>
      </c>
      <c r="E95" s="25">
        <v>32</v>
      </c>
      <c r="F95" s="25">
        <f>+D95-E95</f>
        <v>182</v>
      </c>
      <c r="G95" s="26">
        <v>45601</v>
      </c>
    </row>
    <row r="96" spans="1:7" x14ac:dyDescent="0.3">
      <c r="A96" s="24" t="s">
        <v>86</v>
      </c>
      <c r="B96" s="28" t="s">
        <v>154</v>
      </c>
      <c r="C96" s="24">
        <v>80</v>
      </c>
      <c r="D96" s="25">
        <v>539</v>
      </c>
      <c r="E96" s="25">
        <v>39</v>
      </c>
      <c r="F96" s="25">
        <f>+D96-E96</f>
        <v>500</v>
      </c>
      <c r="G96" s="26">
        <v>45604</v>
      </c>
    </row>
    <row r="97" spans="1:7" x14ac:dyDescent="0.3">
      <c r="A97" s="24" t="s">
        <v>86</v>
      </c>
      <c r="B97" s="24" t="s">
        <v>155</v>
      </c>
      <c r="C97" s="24">
        <v>35</v>
      </c>
      <c r="D97" s="25">
        <v>195</v>
      </c>
      <c r="E97" s="25">
        <v>39</v>
      </c>
      <c r="F97" s="25">
        <f>+D97-E97</f>
        <v>156</v>
      </c>
      <c r="G97" s="26">
        <v>45604</v>
      </c>
    </row>
    <row r="98" spans="1:7" x14ac:dyDescent="0.3">
      <c r="A98" s="24" t="s">
        <v>86</v>
      </c>
      <c r="B98" s="24" t="s">
        <v>156</v>
      </c>
      <c r="C98" s="24">
        <v>71</v>
      </c>
      <c r="D98" s="25">
        <v>379</v>
      </c>
      <c r="E98" s="25">
        <v>35</v>
      </c>
      <c r="F98" s="25">
        <f>+D98-E98</f>
        <v>344</v>
      </c>
      <c r="G98" s="26">
        <v>45604</v>
      </c>
    </row>
    <row r="99" spans="1:7" x14ac:dyDescent="0.3">
      <c r="A99" s="27" t="s">
        <v>86</v>
      </c>
      <c r="B99" s="24" t="s">
        <v>157</v>
      </c>
      <c r="C99" s="24">
        <v>66</v>
      </c>
      <c r="D99" s="24">
        <v>464</v>
      </c>
      <c r="E99" s="24">
        <v>40</v>
      </c>
      <c r="F99" s="24">
        <v>424</v>
      </c>
      <c r="G99" s="24">
        <v>45608</v>
      </c>
    </row>
    <row r="100" spans="1:7" x14ac:dyDescent="0.3">
      <c r="A100" s="27" t="s">
        <v>86</v>
      </c>
      <c r="B100" s="24" t="s">
        <v>157</v>
      </c>
      <c r="C100" s="24">
        <v>66</v>
      </c>
      <c r="D100" s="24">
        <v>465</v>
      </c>
      <c r="E100" s="24">
        <v>40</v>
      </c>
      <c r="F100" s="24">
        <v>425</v>
      </c>
      <c r="G100" s="24">
        <v>45608</v>
      </c>
    </row>
    <row r="101" spans="1:7" x14ac:dyDescent="0.3">
      <c r="A101" s="24" t="s">
        <v>86</v>
      </c>
      <c r="B101" s="24" t="s">
        <v>157</v>
      </c>
      <c r="C101" s="24">
        <v>71</v>
      </c>
      <c r="D101" s="25">
        <v>484</v>
      </c>
      <c r="E101" s="25">
        <v>40</v>
      </c>
      <c r="F101" s="25">
        <v>444</v>
      </c>
      <c r="G101" s="26">
        <v>45609</v>
      </c>
    </row>
    <row r="102" spans="1:7" x14ac:dyDescent="0.3">
      <c r="A102" s="24" t="s">
        <v>86</v>
      </c>
      <c r="B102" s="24" t="s">
        <v>158</v>
      </c>
      <c r="C102" s="24">
        <v>66</v>
      </c>
      <c r="D102" s="25">
        <v>434</v>
      </c>
      <c r="E102" s="25">
        <v>40</v>
      </c>
      <c r="F102" s="25">
        <f t="shared" ref="F102:F116" si="1">+D102-E102</f>
        <v>394</v>
      </c>
      <c r="G102" s="26">
        <v>45609</v>
      </c>
    </row>
    <row r="103" spans="1:7" x14ac:dyDescent="0.3">
      <c r="A103" s="24" t="s">
        <v>86</v>
      </c>
      <c r="B103" s="28" t="s">
        <v>158</v>
      </c>
      <c r="C103" s="24">
        <v>66</v>
      </c>
      <c r="D103" s="25">
        <v>440</v>
      </c>
      <c r="E103" s="25">
        <v>40</v>
      </c>
      <c r="F103" s="25">
        <f t="shared" si="1"/>
        <v>400</v>
      </c>
      <c r="G103" s="26">
        <v>45609</v>
      </c>
    </row>
    <row r="104" spans="1:7" x14ac:dyDescent="0.3">
      <c r="A104" s="24" t="s">
        <v>86</v>
      </c>
      <c r="B104" s="28" t="s">
        <v>158</v>
      </c>
      <c r="C104" s="24">
        <v>62</v>
      </c>
      <c r="D104" s="25">
        <v>421.5</v>
      </c>
      <c r="E104" s="25">
        <v>40</v>
      </c>
      <c r="F104" s="25">
        <f t="shared" si="1"/>
        <v>381.5</v>
      </c>
      <c r="G104" s="26">
        <v>45610</v>
      </c>
    </row>
    <row r="105" spans="1:7" x14ac:dyDescent="0.3">
      <c r="A105" s="24" t="s">
        <v>86</v>
      </c>
      <c r="B105" s="28" t="s">
        <v>159</v>
      </c>
      <c r="C105" s="24">
        <v>72</v>
      </c>
      <c r="D105" s="25">
        <v>433</v>
      </c>
      <c r="E105" s="25">
        <v>40</v>
      </c>
      <c r="F105" s="25">
        <f t="shared" si="1"/>
        <v>393</v>
      </c>
      <c r="G105" s="26">
        <v>45610</v>
      </c>
    </row>
    <row r="106" spans="1:7" x14ac:dyDescent="0.3">
      <c r="A106" s="24" t="s">
        <v>86</v>
      </c>
      <c r="B106" s="28" t="s">
        <v>160</v>
      </c>
      <c r="C106" s="24">
        <v>66</v>
      </c>
      <c r="D106" s="25">
        <v>407</v>
      </c>
      <c r="E106" s="25">
        <v>40</v>
      </c>
      <c r="F106" s="25">
        <f t="shared" si="1"/>
        <v>367</v>
      </c>
      <c r="G106" s="26">
        <v>45610</v>
      </c>
    </row>
    <row r="107" spans="1:7" x14ac:dyDescent="0.3">
      <c r="A107" s="24" t="s">
        <v>86</v>
      </c>
      <c r="B107" s="28" t="s">
        <v>160</v>
      </c>
      <c r="C107" s="24">
        <v>44</v>
      </c>
      <c r="D107" s="25">
        <v>282</v>
      </c>
      <c r="E107" s="25">
        <v>40</v>
      </c>
      <c r="F107" s="25">
        <f t="shared" si="1"/>
        <v>242</v>
      </c>
      <c r="G107" s="26">
        <v>45610</v>
      </c>
    </row>
    <row r="108" spans="1:7" x14ac:dyDescent="0.3">
      <c r="A108" s="24" t="s">
        <v>86</v>
      </c>
      <c r="B108" s="24" t="s">
        <v>161</v>
      </c>
      <c r="C108" s="24">
        <v>72</v>
      </c>
      <c r="D108" s="25">
        <v>485</v>
      </c>
      <c r="E108" s="25">
        <v>40</v>
      </c>
      <c r="F108" s="25">
        <f t="shared" si="1"/>
        <v>445</v>
      </c>
      <c r="G108" s="26">
        <v>45616</v>
      </c>
    </row>
    <row r="109" spans="1:7" x14ac:dyDescent="0.3">
      <c r="A109" s="24" t="s">
        <v>86</v>
      </c>
      <c r="B109" s="24" t="s">
        <v>161</v>
      </c>
      <c r="C109" s="24">
        <v>72</v>
      </c>
      <c r="D109" s="25">
        <v>482</v>
      </c>
      <c r="E109" s="25">
        <v>40</v>
      </c>
      <c r="F109" s="25">
        <f t="shared" si="1"/>
        <v>442</v>
      </c>
      <c r="G109" s="26">
        <v>45616</v>
      </c>
    </row>
    <row r="110" spans="1:7" x14ac:dyDescent="0.3">
      <c r="A110" s="24" t="s">
        <v>86</v>
      </c>
      <c r="B110" s="24" t="s">
        <v>161</v>
      </c>
      <c r="C110" s="24">
        <v>73</v>
      </c>
      <c r="D110" s="25">
        <v>462</v>
      </c>
      <c r="E110" s="25">
        <v>40</v>
      </c>
      <c r="F110" s="25">
        <f t="shared" si="1"/>
        <v>422</v>
      </c>
      <c r="G110" s="26">
        <v>45616</v>
      </c>
    </row>
    <row r="111" spans="1:7" x14ac:dyDescent="0.3">
      <c r="A111" s="24" t="s">
        <v>86</v>
      </c>
      <c r="B111" s="24" t="s">
        <v>162</v>
      </c>
      <c r="C111" s="24">
        <v>66</v>
      </c>
      <c r="D111" s="25">
        <v>429</v>
      </c>
      <c r="E111" s="25">
        <v>40</v>
      </c>
      <c r="F111" s="25">
        <f t="shared" si="1"/>
        <v>389</v>
      </c>
      <c r="G111" s="26">
        <v>45622</v>
      </c>
    </row>
    <row r="112" spans="1:7" x14ac:dyDescent="0.3">
      <c r="A112" s="24" t="s">
        <v>86</v>
      </c>
      <c r="B112" s="24" t="s">
        <v>162</v>
      </c>
      <c r="C112" s="24">
        <v>67</v>
      </c>
      <c r="D112" s="25">
        <v>451</v>
      </c>
      <c r="E112" s="25">
        <v>32</v>
      </c>
      <c r="F112" s="25">
        <f t="shared" si="1"/>
        <v>419</v>
      </c>
      <c r="G112" s="26">
        <v>45622</v>
      </c>
    </row>
    <row r="113" spans="1:7" x14ac:dyDescent="0.3">
      <c r="A113" s="24" t="s">
        <v>86</v>
      </c>
      <c r="B113" s="24" t="s">
        <v>162</v>
      </c>
      <c r="C113" s="24">
        <v>67</v>
      </c>
      <c r="D113" s="25">
        <v>453.5</v>
      </c>
      <c r="E113" s="25">
        <v>40</v>
      </c>
      <c r="F113" s="25">
        <f t="shared" si="1"/>
        <v>413.5</v>
      </c>
      <c r="G113" s="26">
        <v>45623</v>
      </c>
    </row>
    <row r="114" spans="1:7" x14ac:dyDescent="0.3">
      <c r="A114" s="24" t="s">
        <v>86</v>
      </c>
      <c r="B114" s="24" t="s">
        <v>163</v>
      </c>
      <c r="C114" s="24">
        <v>77</v>
      </c>
      <c r="D114" s="25">
        <v>491</v>
      </c>
      <c r="E114" s="25">
        <v>40</v>
      </c>
      <c r="F114" s="25">
        <f t="shared" si="1"/>
        <v>451</v>
      </c>
      <c r="G114" s="26">
        <v>45623</v>
      </c>
    </row>
    <row r="115" spans="1:7" x14ac:dyDescent="0.3">
      <c r="A115" s="24" t="s">
        <v>86</v>
      </c>
      <c r="B115" s="24" t="s">
        <v>163</v>
      </c>
      <c r="C115" s="24">
        <v>39</v>
      </c>
      <c r="D115" s="25">
        <v>265.5</v>
      </c>
      <c r="E115" s="25">
        <v>40</v>
      </c>
      <c r="F115" s="25">
        <f t="shared" si="1"/>
        <v>225.5</v>
      </c>
      <c r="G115" s="26">
        <v>45623</v>
      </c>
    </row>
    <row r="116" spans="1:7" x14ac:dyDescent="0.3">
      <c r="A116" s="24" t="s">
        <v>86</v>
      </c>
      <c r="B116" s="24" t="s">
        <v>162</v>
      </c>
      <c r="C116" s="24">
        <v>31</v>
      </c>
      <c r="D116" s="25">
        <v>228</v>
      </c>
      <c r="E116" s="25">
        <v>40</v>
      </c>
      <c r="F116" s="25">
        <f t="shared" si="1"/>
        <v>188</v>
      </c>
      <c r="G116" s="26">
        <v>45623</v>
      </c>
    </row>
    <row r="117" spans="1:7" x14ac:dyDescent="0.3">
      <c r="A117" s="24" t="s">
        <v>86</v>
      </c>
      <c r="B117" s="24" t="s">
        <v>164</v>
      </c>
      <c r="C117" s="24">
        <v>66</v>
      </c>
      <c r="D117" s="24">
        <v>451</v>
      </c>
      <c r="E117" s="24">
        <v>40</v>
      </c>
      <c r="F117" s="24">
        <v>411</v>
      </c>
      <c r="G117" s="26">
        <v>45637</v>
      </c>
    </row>
    <row r="118" spans="1:7" x14ac:dyDescent="0.3">
      <c r="A118" s="24" t="s">
        <v>86</v>
      </c>
      <c r="B118" s="24" t="s">
        <v>164</v>
      </c>
      <c r="C118" s="24">
        <v>66</v>
      </c>
      <c r="D118" s="24">
        <v>464</v>
      </c>
      <c r="E118" s="24">
        <v>40</v>
      </c>
      <c r="F118" s="24">
        <v>424</v>
      </c>
      <c r="G118" s="26">
        <v>45637</v>
      </c>
    </row>
    <row r="119" spans="1:7" x14ac:dyDescent="0.3">
      <c r="A119" s="24" t="s">
        <v>86</v>
      </c>
      <c r="B119" s="24" t="s">
        <v>164</v>
      </c>
      <c r="C119" s="24">
        <v>66</v>
      </c>
      <c r="D119" s="24">
        <v>466</v>
      </c>
      <c r="E119" s="24">
        <v>40</v>
      </c>
      <c r="F119" s="24">
        <v>426</v>
      </c>
      <c r="G119" s="26">
        <v>45637</v>
      </c>
    </row>
    <row r="120" spans="1:7" x14ac:dyDescent="0.3">
      <c r="A120" s="24" t="s">
        <v>86</v>
      </c>
      <c r="B120" s="24" t="s">
        <v>164</v>
      </c>
      <c r="C120" s="24">
        <v>40</v>
      </c>
      <c r="D120" s="25">
        <v>262</v>
      </c>
      <c r="E120" s="25">
        <v>40</v>
      </c>
      <c r="F120" s="25">
        <f t="shared" ref="F120:F131" si="2">+D120-E120</f>
        <v>222</v>
      </c>
      <c r="G120" s="26">
        <v>45638</v>
      </c>
    </row>
    <row r="121" spans="1:7" x14ac:dyDescent="0.3">
      <c r="A121" s="24" t="s">
        <v>86</v>
      </c>
      <c r="B121" s="24" t="s">
        <v>165</v>
      </c>
      <c r="C121" s="24">
        <v>54</v>
      </c>
      <c r="D121" s="25">
        <v>367</v>
      </c>
      <c r="E121" s="25">
        <v>40</v>
      </c>
      <c r="F121" s="25">
        <f t="shared" si="2"/>
        <v>327</v>
      </c>
      <c r="G121" s="26">
        <v>45638</v>
      </c>
    </row>
    <row r="122" spans="1:7" x14ac:dyDescent="0.3">
      <c r="A122" s="24" t="s">
        <v>86</v>
      </c>
      <c r="B122" s="24" t="s">
        <v>166</v>
      </c>
      <c r="C122" s="24">
        <f>23+26</f>
        <v>49</v>
      </c>
      <c r="D122" s="25">
        <f>137+250</f>
        <v>387</v>
      </c>
      <c r="E122" s="25">
        <f>40+137</f>
        <v>177</v>
      </c>
      <c r="F122" s="25">
        <f t="shared" si="2"/>
        <v>210</v>
      </c>
      <c r="G122" s="26">
        <v>45639</v>
      </c>
    </row>
    <row r="123" spans="1:7" x14ac:dyDescent="0.3">
      <c r="A123" s="24" t="s">
        <v>86</v>
      </c>
      <c r="B123" s="24" t="s">
        <v>167</v>
      </c>
      <c r="C123" s="24">
        <v>58</v>
      </c>
      <c r="D123" s="25">
        <v>313</v>
      </c>
      <c r="E123" s="25">
        <v>40</v>
      </c>
      <c r="F123" s="25">
        <f t="shared" si="2"/>
        <v>273</v>
      </c>
      <c r="G123" s="26">
        <v>45639</v>
      </c>
    </row>
    <row r="124" spans="1:7" x14ac:dyDescent="0.3">
      <c r="A124" s="24" t="s">
        <v>86</v>
      </c>
      <c r="B124" s="24" t="s">
        <v>168</v>
      </c>
      <c r="C124" s="24">
        <f>38+21</f>
        <v>59</v>
      </c>
      <c r="D124" s="25">
        <f>209+307</f>
        <v>516</v>
      </c>
      <c r="E124" s="25">
        <f>40+209</f>
        <v>249</v>
      </c>
      <c r="F124" s="25">
        <f t="shared" si="2"/>
        <v>267</v>
      </c>
      <c r="G124" s="26">
        <v>45639</v>
      </c>
    </row>
    <row r="125" spans="1:7" x14ac:dyDescent="0.3">
      <c r="A125" s="24" t="s">
        <v>86</v>
      </c>
      <c r="B125" s="24" t="s">
        <v>169</v>
      </c>
      <c r="C125" s="24">
        <v>66</v>
      </c>
      <c r="D125" s="25">
        <v>446</v>
      </c>
      <c r="E125" s="25">
        <v>32</v>
      </c>
      <c r="F125" s="25">
        <f t="shared" si="2"/>
        <v>414</v>
      </c>
      <c r="G125" s="26">
        <v>45677</v>
      </c>
    </row>
    <row r="126" spans="1:7" x14ac:dyDescent="0.3">
      <c r="A126" s="24" t="s">
        <v>86</v>
      </c>
      <c r="B126" s="24" t="s">
        <v>169</v>
      </c>
      <c r="C126" s="24">
        <v>66</v>
      </c>
      <c r="D126" s="25">
        <v>453</v>
      </c>
      <c r="E126" s="25">
        <v>40</v>
      </c>
      <c r="F126" s="25">
        <f t="shared" si="2"/>
        <v>413</v>
      </c>
      <c r="G126" s="26">
        <v>45677</v>
      </c>
    </row>
    <row r="127" spans="1:7" x14ac:dyDescent="0.3">
      <c r="A127" s="24" t="s">
        <v>86</v>
      </c>
      <c r="B127" s="24" t="s">
        <v>169</v>
      </c>
      <c r="C127" s="24">
        <v>34</v>
      </c>
      <c r="D127" s="25">
        <v>244</v>
      </c>
      <c r="E127" s="25">
        <v>37</v>
      </c>
      <c r="F127" s="25">
        <f t="shared" si="2"/>
        <v>207</v>
      </c>
      <c r="G127" s="26">
        <v>45311</v>
      </c>
    </row>
    <row r="128" spans="1:7" x14ac:dyDescent="0.3">
      <c r="A128" s="24" t="s">
        <v>86</v>
      </c>
      <c r="B128" s="24" t="s">
        <v>170</v>
      </c>
      <c r="C128" s="24">
        <v>55</v>
      </c>
      <c r="D128" s="25">
        <v>366</v>
      </c>
      <c r="E128" s="25">
        <v>39</v>
      </c>
      <c r="F128" s="25">
        <f t="shared" si="2"/>
        <v>327</v>
      </c>
      <c r="G128" s="26">
        <v>45677</v>
      </c>
    </row>
    <row r="129" spans="1:7" x14ac:dyDescent="0.3">
      <c r="A129" s="24" t="s">
        <v>86</v>
      </c>
      <c r="B129" s="24" t="s">
        <v>171</v>
      </c>
      <c r="C129" s="24">
        <v>79</v>
      </c>
      <c r="D129" s="25">
        <v>523</v>
      </c>
      <c r="E129" s="25">
        <v>39</v>
      </c>
      <c r="F129" s="25">
        <f t="shared" si="2"/>
        <v>484</v>
      </c>
      <c r="G129" s="26">
        <v>45678</v>
      </c>
    </row>
    <row r="130" spans="1:7" x14ac:dyDescent="0.3">
      <c r="A130" s="24" t="s">
        <v>86</v>
      </c>
      <c r="B130" s="24" t="s">
        <v>172</v>
      </c>
      <c r="C130" s="24">
        <v>55</v>
      </c>
      <c r="D130" s="25">
        <v>330</v>
      </c>
      <c r="E130" s="25">
        <v>39</v>
      </c>
      <c r="F130" s="25">
        <f t="shared" si="2"/>
        <v>291</v>
      </c>
      <c r="G130" s="26">
        <v>45678</v>
      </c>
    </row>
    <row r="131" spans="1:7" x14ac:dyDescent="0.3">
      <c r="A131" s="24" t="s">
        <v>86</v>
      </c>
      <c r="B131" s="24" t="s">
        <v>172</v>
      </c>
      <c r="C131" s="24">
        <v>66</v>
      </c>
      <c r="D131" s="25">
        <v>421</v>
      </c>
      <c r="E131" s="25">
        <v>39</v>
      </c>
      <c r="F131" s="25">
        <f t="shared" si="2"/>
        <v>382</v>
      </c>
      <c r="G131" s="26">
        <v>45678</v>
      </c>
    </row>
    <row r="132" spans="1:7" x14ac:dyDescent="0.3">
      <c r="A132" s="24" t="s">
        <v>173</v>
      </c>
      <c r="B132" s="24" t="s">
        <v>174</v>
      </c>
      <c r="C132" s="24">
        <v>77</v>
      </c>
      <c r="D132" s="25">
        <v>434</v>
      </c>
      <c r="E132" s="25">
        <v>32</v>
      </c>
      <c r="F132" s="25">
        <f>+D132-E132</f>
        <v>402</v>
      </c>
      <c r="G132" s="26">
        <v>45314</v>
      </c>
    </row>
    <row r="133" spans="1:7" x14ac:dyDescent="0.3">
      <c r="A133" s="24" t="s">
        <v>173</v>
      </c>
      <c r="B133" s="24" t="s">
        <v>175</v>
      </c>
      <c r="C133" s="24">
        <v>62</v>
      </c>
      <c r="D133" s="25">
        <v>317</v>
      </c>
      <c r="E133" s="25">
        <v>40</v>
      </c>
      <c r="F133" s="25">
        <v>277</v>
      </c>
      <c r="G133" s="26">
        <v>45558</v>
      </c>
    </row>
    <row r="134" spans="1:7" x14ac:dyDescent="0.3">
      <c r="A134" s="24" t="s">
        <v>173</v>
      </c>
      <c r="B134" s="24" t="s">
        <v>176</v>
      </c>
      <c r="C134" s="24">
        <v>77</v>
      </c>
      <c r="D134" s="25">
        <v>483</v>
      </c>
      <c r="E134" s="25">
        <v>40</v>
      </c>
      <c r="F134" s="25">
        <v>443</v>
      </c>
      <c r="G134" s="26">
        <v>45565</v>
      </c>
    </row>
    <row r="135" spans="1:7" x14ac:dyDescent="0.3">
      <c r="A135" s="24" t="s">
        <v>173</v>
      </c>
      <c r="B135" s="24" t="s">
        <v>178</v>
      </c>
      <c r="C135" s="24">
        <v>58</v>
      </c>
      <c r="D135" s="25">
        <v>319</v>
      </c>
      <c r="E135" s="25">
        <v>40</v>
      </c>
      <c r="F135" s="25">
        <f>+D135-E135</f>
        <v>279</v>
      </c>
      <c r="G135" s="26">
        <v>45572</v>
      </c>
    </row>
    <row r="136" spans="1:7" x14ac:dyDescent="0.3">
      <c r="A136" s="24" t="s">
        <v>173</v>
      </c>
      <c r="B136" s="24" t="s">
        <v>179</v>
      </c>
      <c r="C136" s="24">
        <v>82</v>
      </c>
      <c r="D136" s="25">
        <v>445.5</v>
      </c>
      <c r="E136" s="25">
        <v>40</v>
      </c>
      <c r="F136" s="25">
        <v>405.5</v>
      </c>
      <c r="G136" s="26">
        <v>45573</v>
      </c>
    </row>
    <row r="137" spans="1:7" x14ac:dyDescent="0.3">
      <c r="A137" s="24" t="s">
        <v>173</v>
      </c>
      <c r="B137" s="24" t="s">
        <v>180</v>
      </c>
      <c r="C137" s="24">
        <v>61</v>
      </c>
      <c r="D137" s="25">
        <v>287</v>
      </c>
      <c r="E137" s="25">
        <v>32</v>
      </c>
      <c r="F137" s="25">
        <v>255</v>
      </c>
      <c r="G137" s="26">
        <v>45579</v>
      </c>
    </row>
    <row r="138" spans="1:7" x14ac:dyDescent="0.3">
      <c r="A138" s="24" t="s">
        <v>173</v>
      </c>
      <c r="B138" s="24" t="s">
        <v>181</v>
      </c>
      <c r="C138" s="24">
        <v>66</v>
      </c>
      <c r="D138" s="25">
        <v>436</v>
      </c>
      <c r="E138" s="25">
        <v>32</v>
      </c>
      <c r="F138" s="25">
        <f>+D138-E138</f>
        <v>404</v>
      </c>
      <c r="G138" s="26">
        <v>45580</v>
      </c>
    </row>
    <row r="139" spans="1:7" x14ac:dyDescent="0.3">
      <c r="A139" s="24" t="s">
        <v>173</v>
      </c>
      <c r="B139" s="24" t="s">
        <v>182</v>
      </c>
      <c r="C139" s="24">
        <v>28</v>
      </c>
      <c r="D139" s="25">
        <v>176</v>
      </c>
      <c r="E139" s="25">
        <v>40</v>
      </c>
      <c r="F139" s="25">
        <f>+D139-E139</f>
        <v>136</v>
      </c>
      <c r="G139" s="26">
        <v>45587</v>
      </c>
    </row>
    <row r="140" spans="1:7" x14ac:dyDescent="0.3">
      <c r="A140" s="24" t="s">
        <v>185</v>
      </c>
      <c r="B140" s="24" t="s">
        <v>186</v>
      </c>
      <c r="C140" s="24">
        <v>105</v>
      </c>
      <c r="D140" s="25">
        <v>591</v>
      </c>
      <c r="E140" s="25">
        <v>30</v>
      </c>
      <c r="F140" s="25">
        <f t="shared" ref="F140:F210" si="3">+D140-E140</f>
        <v>561</v>
      </c>
      <c r="G140" s="26">
        <v>46056</v>
      </c>
    </row>
    <row r="141" spans="1:7" x14ac:dyDescent="0.3">
      <c r="A141" s="24" t="s">
        <v>185</v>
      </c>
      <c r="B141" s="24" t="s">
        <v>186</v>
      </c>
      <c r="C141" s="24">
        <v>68</v>
      </c>
      <c r="D141" s="25">
        <v>382</v>
      </c>
      <c r="E141" s="25">
        <v>40</v>
      </c>
      <c r="F141" s="25">
        <f t="shared" si="3"/>
        <v>342</v>
      </c>
      <c r="G141" s="26">
        <v>46072</v>
      </c>
    </row>
    <row r="142" spans="1:7" x14ac:dyDescent="0.3">
      <c r="A142" s="24" t="s">
        <v>185</v>
      </c>
      <c r="B142" s="24" t="s">
        <v>187</v>
      </c>
      <c r="C142" s="24">
        <v>90</v>
      </c>
      <c r="D142" s="25">
        <v>484</v>
      </c>
      <c r="E142" s="25">
        <v>40</v>
      </c>
      <c r="F142" s="25">
        <f t="shared" si="3"/>
        <v>444</v>
      </c>
      <c r="G142" s="26">
        <v>46073</v>
      </c>
    </row>
    <row r="143" spans="1:7" x14ac:dyDescent="0.3">
      <c r="A143" s="24" t="s">
        <v>185</v>
      </c>
      <c r="B143" s="24" t="s">
        <v>187</v>
      </c>
      <c r="C143" s="24">
        <v>74</v>
      </c>
      <c r="D143" s="25">
        <v>408</v>
      </c>
      <c r="E143" s="25">
        <v>40</v>
      </c>
      <c r="F143" s="25">
        <f t="shared" si="3"/>
        <v>368</v>
      </c>
      <c r="G143" s="26">
        <v>46073</v>
      </c>
    </row>
    <row r="144" spans="1:7" x14ac:dyDescent="0.3">
      <c r="A144" s="24" t="s">
        <v>185</v>
      </c>
      <c r="B144" s="24" t="s">
        <v>188</v>
      </c>
      <c r="C144" s="24">
        <v>78</v>
      </c>
      <c r="D144" s="25">
        <v>459</v>
      </c>
      <c r="E144" s="25">
        <v>40</v>
      </c>
      <c r="F144" s="25">
        <f t="shared" si="3"/>
        <v>419</v>
      </c>
      <c r="G144" s="26">
        <v>46083</v>
      </c>
    </row>
    <row r="145" spans="1:7" x14ac:dyDescent="0.3">
      <c r="A145" s="24" t="s">
        <v>185</v>
      </c>
      <c r="B145" s="24" t="s">
        <v>188</v>
      </c>
      <c r="C145" s="24">
        <v>78</v>
      </c>
      <c r="D145" s="25">
        <v>452</v>
      </c>
      <c r="E145" s="25">
        <v>40</v>
      </c>
      <c r="F145" s="25">
        <f t="shared" si="3"/>
        <v>412</v>
      </c>
      <c r="G145" s="26">
        <v>46083</v>
      </c>
    </row>
    <row r="146" spans="1:7" x14ac:dyDescent="0.3">
      <c r="A146" s="24" t="s">
        <v>185</v>
      </c>
      <c r="B146" s="24" t="s">
        <v>189</v>
      </c>
      <c r="C146" s="24">
        <v>37</v>
      </c>
      <c r="D146" s="25">
        <v>188</v>
      </c>
      <c r="E146" s="25">
        <v>40</v>
      </c>
      <c r="F146" s="25">
        <f t="shared" si="3"/>
        <v>148</v>
      </c>
      <c r="G146" s="26">
        <v>46139</v>
      </c>
    </row>
    <row r="147" spans="1:7" x14ac:dyDescent="0.3">
      <c r="A147" s="24" t="s">
        <v>185</v>
      </c>
      <c r="B147" s="24" t="s">
        <v>46</v>
      </c>
      <c r="C147" s="24">
        <v>49</v>
      </c>
      <c r="D147" s="25">
        <v>294.5</v>
      </c>
      <c r="E147" s="25">
        <v>30</v>
      </c>
      <c r="F147" s="25">
        <f t="shared" si="3"/>
        <v>264.5</v>
      </c>
      <c r="G147" s="26">
        <v>46051</v>
      </c>
    </row>
    <row r="148" spans="1:7" x14ac:dyDescent="0.3">
      <c r="A148" s="24" t="s">
        <v>185</v>
      </c>
      <c r="B148" s="24" t="s">
        <v>190</v>
      </c>
      <c r="C148" s="24">
        <v>33</v>
      </c>
      <c r="D148" s="25">
        <v>185</v>
      </c>
      <c r="E148" s="25">
        <v>40</v>
      </c>
      <c r="F148" s="25">
        <f t="shared" si="3"/>
        <v>145</v>
      </c>
      <c r="G148" s="26">
        <v>45987</v>
      </c>
    </row>
    <row r="149" spans="1:7" x14ac:dyDescent="0.3">
      <c r="A149" s="27" t="s">
        <v>185</v>
      </c>
      <c r="B149" s="24" t="s">
        <v>191</v>
      </c>
      <c r="C149" s="24">
        <v>75</v>
      </c>
      <c r="D149" s="25">
        <v>402.5</v>
      </c>
      <c r="E149" s="25">
        <v>40</v>
      </c>
      <c r="F149" s="25">
        <f t="shared" si="3"/>
        <v>362.5</v>
      </c>
      <c r="G149" s="32">
        <v>45995</v>
      </c>
    </row>
    <row r="150" spans="1:7" x14ac:dyDescent="0.3">
      <c r="A150" s="24" t="s">
        <v>185</v>
      </c>
      <c r="B150" s="24" t="s">
        <v>188</v>
      </c>
      <c r="C150" s="24">
        <v>49</v>
      </c>
      <c r="D150" s="25">
        <v>307</v>
      </c>
      <c r="E150" s="25">
        <v>40</v>
      </c>
      <c r="F150" s="25">
        <f t="shared" si="3"/>
        <v>267</v>
      </c>
      <c r="G150" s="26">
        <v>46083</v>
      </c>
    </row>
    <row r="151" spans="1:7" x14ac:dyDescent="0.3">
      <c r="A151" s="24" t="s">
        <v>185</v>
      </c>
      <c r="B151" s="24" t="s">
        <v>192</v>
      </c>
      <c r="C151" s="24">
        <v>126</v>
      </c>
      <c r="D151" s="25">
        <v>619</v>
      </c>
      <c r="E151" s="25">
        <v>32</v>
      </c>
      <c r="F151" s="25">
        <f t="shared" si="3"/>
        <v>587</v>
      </c>
      <c r="G151" s="26">
        <v>45328</v>
      </c>
    </row>
    <row r="152" spans="1:7" x14ac:dyDescent="0.3">
      <c r="A152" s="24" t="s">
        <v>185</v>
      </c>
      <c r="B152" s="24" t="s">
        <v>193</v>
      </c>
      <c r="C152" s="24">
        <v>38</v>
      </c>
      <c r="D152" s="25">
        <v>170</v>
      </c>
      <c r="E152" s="25">
        <v>40</v>
      </c>
      <c r="F152" s="25">
        <f t="shared" si="3"/>
        <v>130</v>
      </c>
      <c r="G152" s="26">
        <v>45938</v>
      </c>
    </row>
    <row r="153" spans="1:7" x14ac:dyDescent="0.3">
      <c r="A153" s="24" t="s">
        <v>185</v>
      </c>
      <c r="B153" s="24" t="s">
        <v>194</v>
      </c>
      <c r="C153" s="24">
        <v>22</v>
      </c>
      <c r="D153" s="25">
        <v>135</v>
      </c>
      <c r="E153" s="25">
        <v>32</v>
      </c>
      <c r="F153" s="25">
        <f t="shared" si="3"/>
        <v>103</v>
      </c>
      <c r="G153" s="26">
        <v>45441</v>
      </c>
    </row>
    <row r="154" spans="1:7" x14ac:dyDescent="0.3">
      <c r="A154" s="27" t="s">
        <v>185</v>
      </c>
      <c r="B154" s="27" t="s">
        <v>195</v>
      </c>
      <c r="C154" s="24">
        <v>62</v>
      </c>
      <c r="D154" s="25">
        <v>346</v>
      </c>
      <c r="E154" s="25">
        <v>32</v>
      </c>
      <c r="F154" s="25">
        <f t="shared" si="3"/>
        <v>314</v>
      </c>
      <c r="G154" s="26">
        <v>46006</v>
      </c>
    </row>
    <row r="155" spans="1:7" x14ac:dyDescent="0.3">
      <c r="A155" s="24" t="s">
        <v>185</v>
      </c>
      <c r="B155" s="24" t="s">
        <v>252</v>
      </c>
      <c r="C155" s="24">
        <v>106</v>
      </c>
      <c r="D155" s="25">
        <v>544</v>
      </c>
      <c r="E155" s="25">
        <v>40</v>
      </c>
      <c r="F155" s="25">
        <f t="shared" si="3"/>
        <v>504</v>
      </c>
      <c r="G155" s="26">
        <v>46147</v>
      </c>
    </row>
    <row r="156" spans="1:7" x14ac:dyDescent="0.3">
      <c r="A156" s="24" t="s">
        <v>185</v>
      </c>
      <c r="B156" s="24" t="s">
        <v>252</v>
      </c>
      <c r="C156" s="24">
        <v>105</v>
      </c>
      <c r="D156" s="25">
        <v>536</v>
      </c>
      <c r="E156" s="25">
        <v>40</v>
      </c>
      <c r="F156" s="25">
        <f t="shared" si="3"/>
        <v>496</v>
      </c>
      <c r="G156" s="26">
        <v>46147</v>
      </c>
    </row>
    <row r="157" spans="1:7" x14ac:dyDescent="0.3">
      <c r="A157" s="24" t="s">
        <v>185</v>
      </c>
      <c r="B157" s="27" t="s">
        <v>253</v>
      </c>
      <c r="C157" s="24">
        <v>107</v>
      </c>
      <c r="D157" s="25">
        <v>517.5</v>
      </c>
      <c r="E157" s="25">
        <v>40</v>
      </c>
      <c r="F157" s="25">
        <f t="shared" si="3"/>
        <v>477.5</v>
      </c>
      <c r="G157" s="26">
        <v>46148</v>
      </c>
    </row>
    <row r="158" spans="1:7" x14ac:dyDescent="0.3">
      <c r="A158" s="24" t="s">
        <v>185</v>
      </c>
      <c r="B158" s="27" t="s">
        <v>253</v>
      </c>
      <c r="C158" s="24">
        <v>89</v>
      </c>
      <c r="D158" s="25">
        <v>404.5</v>
      </c>
      <c r="E158" s="25">
        <v>40</v>
      </c>
      <c r="F158" s="25">
        <f t="shared" si="3"/>
        <v>364.5</v>
      </c>
      <c r="G158" s="26">
        <v>46148</v>
      </c>
    </row>
    <row r="159" spans="1:7" x14ac:dyDescent="0.3">
      <c r="A159" s="24" t="s">
        <v>185</v>
      </c>
      <c r="B159" s="27" t="s">
        <v>254</v>
      </c>
      <c r="C159" s="24">
        <v>105</v>
      </c>
      <c r="D159" s="25">
        <v>476</v>
      </c>
      <c r="E159" s="25">
        <v>40</v>
      </c>
      <c r="F159" s="25">
        <f t="shared" si="3"/>
        <v>436</v>
      </c>
      <c r="G159" s="32">
        <v>46149</v>
      </c>
    </row>
    <row r="160" spans="1:7" x14ac:dyDescent="0.3">
      <c r="A160" s="24" t="s">
        <v>185</v>
      </c>
      <c r="B160" s="27" t="s">
        <v>255</v>
      </c>
      <c r="C160" s="24">
        <v>59</v>
      </c>
      <c r="D160" s="25">
        <v>285</v>
      </c>
      <c r="E160" s="25">
        <v>40</v>
      </c>
      <c r="F160" s="25">
        <f t="shared" si="3"/>
        <v>245</v>
      </c>
      <c r="G160" s="32">
        <v>46149</v>
      </c>
    </row>
    <row r="161" spans="1:7" x14ac:dyDescent="0.3">
      <c r="A161" s="24" t="s">
        <v>185</v>
      </c>
      <c r="B161" s="27" t="s">
        <v>255</v>
      </c>
      <c r="C161" s="24">
        <v>112</v>
      </c>
      <c r="D161" s="25">
        <v>573</v>
      </c>
      <c r="E161" s="25">
        <v>40</v>
      </c>
      <c r="F161" s="25">
        <f t="shared" si="3"/>
        <v>533</v>
      </c>
      <c r="G161" s="32">
        <v>46149</v>
      </c>
    </row>
    <row r="162" spans="1:7" x14ac:dyDescent="0.3">
      <c r="A162" s="29" t="s">
        <v>185</v>
      </c>
      <c r="B162" s="33" t="s">
        <v>254</v>
      </c>
      <c r="C162" s="29">
        <v>105</v>
      </c>
      <c r="D162" s="30">
        <v>535</v>
      </c>
      <c r="E162" s="30">
        <v>40</v>
      </c>
      <c r="F162" s="30">
        <f t="shared" si="3"/>
        <v>495</v>
      </c>
      <c r="G162" s="34">
        <v>46150</v>
      </c>
    </row>
    <row r="163" spans="1:7" x14ac:dyDescent="0.3">
      <c r="A163" s="10" t="s">
        <v>185</v>
      </c>
      <c r="B163" s="9" t="s">
        <v>26</v>
      </c>
      <c r="C163" s="10">
        <v>81</v>
      </c>
      <c r="D163" s="11">
        <v>433</v>
      </c>
      <c r="E163" s="11">
        <v>40</v>
      </c>
      <c r="F163" s="11">
        <v>393</v>
      </c>
      <c r="G163" s="64">
        <v>46150</v>
      </c>
    </row>
    <row r="164" spans="1:7" x14ac:dyDescent="0.3">
      <c r="A164" s="10" t="s">
        <v>185</v>
      </c>
      <c r="B164" s="9" t="s">
        <v>26</v>
      </c>
      <c r="C164" s="10">
        <v>100</v>
      </c>
      <c r="D164" s="11">
        <v>505</v>
      </c>
      <c r="E164" s="11">
        <v>40</v>
      </c>
      <c r="F164" s="11">
        <v>465</v>
      </c>
      <c r="G164" s="64">
        <v>46153</v>
      </c>
    </row>
    <row r="165" spans="1:7" x14ac:dyDescent="0.3">
      <c r="A165" s="10" t="s">
        <v>185</v>
      </c>
      <c r="B165" s="9" t="s">
        <v>26</v>
      </c>
      <c r="C165" s="10">
        <v>51</v>
      </c>
      <c r="D165" s="11">
        <v>266</v>
      </c>
      <c r="E165" s="11">
        <v>40</v>
      </c>
      <c r="F165" s="11">
        <v>226</v>
      </c>
      <c r="G165" s="64">
        <v>46153</v>
      </c>
    </row>
    <row r="166" spans="1:7" x14ac:dyDescent="0.3">
      <c r="A166" s="10" t="s">
        <v>185</v>
      </c>
      <c r="B166" s="9" t="s">
        <v>115</v>
      </c>
      <c r="C166" s="10">
        <v>100</v>
      </c>
      <c r="D166" s="11">
        <v>500</v>
      </c>
      <c r="E166" s="11">
        <v>40</v>
      </c>
      <c r="F166" s="11">
        <v>460</v>
      </c>
      <c r="G166" s="64">
        <v>46153</v>
      </c>
    </row>
    <row r="167" spans="1:7" x14ac:dyDescent="0.3">
      <c r="A167" s="10" t="s">
        <v>185</v>
      </c>
      <c r="B167" s="9" t="s">
        <v>115</v>
      </c>
      <c r="C167" s="10">
        <v>93</v>
      </c>
      <c r="D167" s="11">
        <v>469</v>
      </c>
      <c r="E167" s="11">
        <v>40</v>
      </c>
      <c r="F167" s="11">
        <v>429</v>
      </c>
      <c r="G167" s="64">
        <v>46154</v>
      </c>
    </row>
    <row r="168" spans="1:7" x14ac:dyDescent="0.3">
      <c r="A168" s="10" t="s">
        <v>185</v>
      </c>
      <c r="B168" s="9" t="s">
        <v>28</v>
      </c>
      <c r="C168" s="10">
        <v>100</v>
      </c>
      <c r="D168" s="11">
        <v>481</v>
      </c>
      <c r="E168" s="11">
        <v>40</v>
      </c>
      <c r="F168" s="11">
        <v>441</v>
      </c>
      <c r="G168" s="64">
        <v>46154</v>
      </c>
    </row>
    <row r="169" spans="1:7" x14ac:dyDescent="0.3">
      <c r="A169" s="10" t="s">
        <v>185</v>
      </c>
      <c r="B169" s="9" t="s">
        <v>115</v>
      </c>
      <c r="C169" s="10">
        <v>56</v>
      </c>
      <c r="D169" s="11">
        <v>285</v>
      </c>
      <c r="E169" s="11">
        <v>40</v>
      </c>
      <c r="F169" s="11">
        <v>245</v>
      </c>
      <c r="G169" s="64">
        <v>46155</v>
      </c>
    </row>
    <row r="170" spans="1:7" x14ac:dyDescent="0.3">
      <c r="A170" s="10" t="s">
        <v>185</v>
      </c>
      <c r="B170" s="9" t="s">
        <v>414</v>
      </c>
      <c r="C170" s="10">
        <v>90</v>
      </c>
      <c r="D170" s="11">
        <v>447</v>
      </c>
      <c r="E170" s="11">
        <v>40</v>
      </c>
      <c r="F170" s="11">
        <v>407</v>
      </c>
      <c r="G170" s="64">
        <v>46155</v>
      </c>
    </row>
    <row r="171" spans="1:7" x14ac:dyDescent="0.3">
      <c r="A171" s="10" t="s">
        <v>185</v>
      </c>
      <c r="B171" s="9" t="s">
        <v>414</v>
      </c>
      <c r="C171" s="10">
        <v>37</v>
      </c>
      <c r="D171" s="11">
        <v>204</v>
      </c>
      <c r="E171" s="11">
        <v>40</v>
      </c>
      <c r="F171" s="11">
        <v>164</v>
      </c>
      <c r="G171" s="64">
        <v>46155</v>
      </c>
    </row>
    <row r="172" spans="1:7" x14ac:dyDescent="0.3">
      <c r="A172" s="10" t="s">
        <v>185</v>
      </c>
      <c r="B172" s="9" t="s">
        <v>27</v>
      </c>
      <c r="C172" s="10">
        <v>102</v>
      </c>
      <c r="D172" s="11">
        <v>530</v>
      </c>
      <c r="E172" s="11">
        <v>40</v>
      </c>
      <c r="F172" s="11">
        <v>490</v>
      </c>
      <c r="G172" s="64">
        <v>46155</v>
      </c>
    </row>
    <row r="173" spans="1:7" x14ac:dyDescent="0.3">
      <c r="A173" s="10" t="s">
        <v>185</v>
      </c>
      <c r="B173" s="9" t="s">
        <v>27</v>
      </c>
      <c r="C173" s="10">
        <v>84</v>
      </c>
      <c r="D173" s="11">
        <v>448</v>
      </c>
      <c r="E173" s="11">
        <v>40</v>
      </c>
      <c r="F173" s="11">
        <v>408</v>
      </c>
      <c r="G173" s="64">
        <v>46156</v>
      </c>
    </row>
    <row r="174" spans="1:7" x14ac:dyDescent="0.3">
      <c r="A174" s="10" t="s">
        <v>185</v>
      </c>
      <c r="B174" s="9" t="s">
        <v>115</v>
      </c>
      <c r="C174" s="10">
        <v>56</v>
      </c>
      <c r="D174" s="11">
        <v>276</v>
      </c>
      <c r="E174" s="11">
        <v>40</v>
      </c>
      <c r="F174" s="11">
        <v>236</v>
      </c>
      <c r="G174" s="64">
        <v>46156</v>
      </c>
    </row>
    <row r="175" spans="1:7" x14ac:dyDescent="0.3">
      <c r="A175" s="24" t="s">
        <v>87</v>
      </c>
      <c r="B175" s="24" t="s">
        <v>196</v>
      </c>
      <c r="C175" s="24">
        <v>224</v>
      </c>
      <c r="D175" s="25">
        <v>340</v>
      </c>
      <c r="E175" s="25">
        <v>40</v>
      </c>
      <c r="F175" s="25">
        <f t="shared" si="3"/>
        <v>300</v>
      </c>
      <c r="G175" s="26">
        <v>46063</v>
      </c>
    </row>
    <row r="176" spans="1:7" x14ac:dyDescent="0.3">
      <c r="A176" s="24" t="s">
        <v>87</v>
      </c>
      <c r="B176" s="24" t="s">
        <v>196</v>
      </c>
      <c r="C176" s="24">
        <v>224</v>
      </c>
      <c r="D176" s="25">
        <v>346.5</v>
      </c>
      <c r="E176" s="25">
        <v>40</v>
      </c>
      <c r="F176" s="25">
        <f t="shared" si="3"/>
        <v>306.5</v>
      </c>
      <c r="G176" s="26">
        <v>46065</v>
      </c>
    </row>
    <row r="177" spans="1:7" x14ac:dyDescent="0.3">
      <c r="A177" s="24" t="s">
        <v>87</v>
      </c>
      <c r="B177" s="24" t="s">
        <v>196</v>
      </c>
      <c r="C177" s="24">
        <v>184</v>
      </c>
      <c r="D177" s="25">
        <v>280</v>
      </c>
      <c r="E177" s="25">
        <v>40</v>
      </c>
      <c r="F177" s="25">
        <f t="shared" si="3"/>
        <v>240</v>
      </c>
      <c r="G177" s="26">
        <v>46065</v>
      </c>
    </row>
    <row r="178" spans="1:7" x14ac:dyDescent="0.3">
      <c r="A178" s="24" t="s">
        <v>87</v>
      </c>
      <c r="B178" s="24" t="s">
        <v>196</v>
      </c>
      <c r="C178" s="24">
        <v>226</v>
      </c>
      <c r="D178" s="25">
        <v>352</v>
      </c>
      <c r="E178" s="25">
        <v>40</v>
      </c>
      <c r="F178" s="25">
        <f t="shared" si="3"/>
        <v>312</v>
      </c>
      <c r="G178" s="26">
        <v>46065</v>
      </c>
    </row>
    <row r="179" spans="1:7" x14ac:dyDescent="0.3">
      <c r="A179" s="24" t="s">
        <v>87</v>
      </c>
      <c r="B179" s="24" t="s">
        <v>197</v>
      </c>
      <c r="C179" s="24">
        <v>224</v>
      </c>
      <c r="D179" s="25">
        <v>321</v>
      </c>
      <c r="E179" s="25">
        <v>40</v>
      </c>
      <c r="F179" s="25">
        <f t="shared" si="3"/>
        <v>281</v>
      </c>
      <c r="G179" s="26">
        <v>46077</v>
      </c>
    </row>
    <row r="180" spans="1:7" x14ac:dyDescent="0.3">
      <c r="A180" s="24" t="s">
        <v>87</v>
      </c>
      <c r="B180" s="24" t="s">
        <v>197</v>
      </c>
      <c r="C180" s="24">
        <v>224</v>
      </c>
      <c r="D180" s="25">
        <v>325</v>
      </c>
      <c r="E180" s="25">
        <v>40</v>
      </c>
      <c r="F180" s="25">
        <f t="shared" si="3"/>
        <v>285</v>
      </c>
      <c r="G180" s="26">
        <v>46077</v>
      </c>
    </row>
    <row r="181" spans="1:7" x14ac:dyDescent="0.3">
      <c r="A181" s="24" t="s">
        <v>87</v>
      </c>
      <c r="B181" s="24" t="s">
        <v>197</v>
      </c>
      <c r="C181" s="24">
        <v>214</v>
      </c>
      <c r="D181" s="25">
        <v>312</v>
      </c>
      <c r="E181" s="25">
        <v>40</v>
      </c>
      <c r="F181" s="25">
        <f t="shared" si="3"/>
        <v>272</v>
      </c>
      <c r="G181" s="26">
        <v>46077</v>
      </c>
    </row>
    <row r="182" spans="1:7" x14ac:dyDescent="0.3">
      <c r="A182" s="24" t="s">
        <v>87</v>
      </c>
      <c r="B182" s="24" t="s">
        <v>197</v>
      </c>
      <c r="C182" s="24">
        <v>224</v>
      </c>
      <c r="D182" s="25">
        <v>306</v>
      </c>
      <c r="E182" s="25">
        <v>40</v>
      </c>
      <c r="F182" s="25">
        <f t="shared" si="3"/>
        <v>266</v>
      </c>
      <c r="G182" s="26">
        <v>46078</v>
      </c>
    </row>
    <row r="183" spans="1:7" x14ac:dyDescent="0.3">
      <c r="A183" s="24" t="s">
        <v>87</v>
      </c>
      <c r="B183" s="24" t="s">
        <v>198</v>
      </c>
      <c r="C183" s="24">
        <v>264</v>
      </c>
      <c r="D183" s="25">
        <v>379</v>
      </c>
      <c r="E183" s="25">
        <v>40</v>
      </c>
      <c r="F183" s="25">
        <f t="shared" si="3"/>
        <v>339</v>
      </c>
      <c r="G183" s="26">
        <v>46083</v>
      </c>
    </row>
    <row r="184" spans="1:7" x14ac:dyDescent="0.3">
      <c r="A184" s="24" t="s">
        <v>87</v>
      </c>
      <c r="B184" s="24" t="s">
        <v>198</v>
      </c>
      <c r="C184" s="24">
        <v>264</v>
      </c>
      <c r="D184" s="25">
        <v>365</v>
      </c>
      <c r="E184" s="25">
        <v>40</v>
      </c>
      <c r="F184" s="25">
        <f t="shared" si="3"/>
        <v>325</v>
      </c>
      <c r="G184" s="26">
        <v>46083</v>
      </c>
    </row>
    <row r="185" spans="1:7" x14ac:dyDescent="0.3">
      <c r="A185" s="24" t="s">
        <v>87</v>
      </c>
      <c r="B185" s="24" t="s">
        <v>198</v>
      </c>
      <c r="C185" s="24">
        <v>224</v>
      </c>
      <c r="D185" s="25">
        <v>316</v>
      </c>
      <c r="E185" s="25">
        <v>40</v>
      </c>
      <c r="F185" s="25">
        <f t="shared" si="3"/>
        <v>276</v>
      </c>
      <c r="G185" s="26">
        <v>46084</v>
      </c>
    </row>
    <row r="186" spans="1:7" x14ac:dyDescent="0.3">
      <c r="A186" s="24" t="s">
        <v>87</v>
      </c>
      <c r="B186" s="24" t="s">
        <v>198</v>
      </c>
      <c r="C186" s="24">
        <v>144</v>
      </c>
      <c r="D186" s="25">
        <v>221</v>
      </c>
      <c r="E186" s="25">
        <v>40</v>
      </c>
      <c r="F186" s="25">
        <f t="shared" si="3"/>
        <v>181</v>
      </c>
      <c r="G186" s="26">
        <v>46084</v>
      </c>
    </row>
    <row r="187" spans="1:7" x14ac:dyDescent="0.3">
      <c r="A187" s="24" t="s">
        <v>87</v>
      </c>
      <c r="B187" s="24" t="s">
        <v>199</v>
      </c>
      <c r="C187" s="24">
        <v>224</v>
      </c>
      <c r="D187" s="25">
        <v>335</v>
      </c>
      <c r="E187" s="25">
        <v>40</v>
      </c>
      <c r="F187" s="25">
        <f t="shared" si="3"/>
        <v>295</v>
      </c>
      <c r="G187" s="26">
        <v>46086</v>
      </c>
    </row>
    <row r="188" spans="1:7" x14ac:dyDescent="0.3">
      <c r="A188" s="24" t="s">
        <v>87</v>
      </c>
      <c r="B188" s="24" t="s">
        <v>199</v>
      </c>
      <c r="C188" s="24">
        <v>224</v>
      </c>
      <c r="D188" s="25">
        <v>333</v>
      </c>
      <c r="E188" s="25">
        <v>40</v>
      </c>
      <c r="F188" s="25">
        <f t="shared" si="3"/>
        <v>293</v>
      </c>
      <c r="G188" s="26">
        <v>46086</v>
      </c>
    </row>
    <row r="189" spans="1:7" x14ac:dyDescent="0.3">
      <c r="A189" s="24" t="s">
        <v>87</v>
      </c>
      <c r="B189" s="24" t="s">
        <v>199</v>
      </c>
      <c r="C189" s="24">
        <v>224</v>
      </c>
      <c r="D189" s="25">
        <v>343</v>
      </c>
      <c r="E189" s="25">
        <v>40</v>
      </c>
      <c r="F189" s="25">
        <f t="shared" si="3"/>
        <v>303</v>
      </c>
      <c r="G189" s="26">
        <v>46086</v>
      </c>
    </row>
    <row r="190" spans="1:7" x14ac:dyDescent="0.3">
      <c r="A190" s="24" t="s">
        <v>87</v>
      </c>
      <c r="B190" s="24" t="s">
        <v>199</v>
      </c>
      <c r="C190" s="24">
        <v>224</v>
      </c>
      <c r="D190" s="25">
        <v>331</v>
      </c>
      <c r="E190" s="25">
        <v>40</v>
      </c>
      <c r="F190" s="25">
        <f t="shared" si="3"/>
        <v>291</v>
      </c>
      <c r="G190" s="26">
        <v>46087</v>
      </c>
    </row>
    <row r="191" spans="1:7" x14ac:dyDescent="0.3">
      <c r="A191" s="24" t="s">
        <v>87</v>
      </c>
      <c r="B191" s="24" t="s">
        <v>200</v>
      </c>
      <c r="C191" s="24">
        <v>224</v>
      </c>
      <c r="D191" s="25">
        <v>333</v>
      </c>
      <c r="E191" s="25">
        <v>40</v>
      </c>
      <c r="F191" s="25">
        <f t="shared" si="3"/>
        <v>293</v>
      </c>
      <c r="G191" s="26">
        <v>46094</v>
      </c>
    </row>
    <row r="192" spans="1:7" x14ac:dyDescent="0.3">
      <c r="A192" s="24" t="s">
        <v>87</v>
      </c>
      <c r="B192" s="24" t="s">
        <v>200</v>
      </c>
      <c r="C192" s="24">
        <v>224</v>
      </c>
      <c r="D192" s="25">
        <v>338.5</v>
      </c>
      <c r="E192" s="25">
        <v>40</v>
      </c>
      <c r="F192" s="25">
        <f t="shared" si="3"/>
        <v>298.5</v>
      </c>
      <c r="G192" s="26">
        <v>46094</v>
      </c>
    </row>
    <row r="193" spans="1:7" x14ac:dyDescent="0.3">
      <c r="A193" s="24" t="s">
        <v>87</v>
      </c>
      <c r="B193" s="24" t="s">
        <v>200</v>
      </c>
      <c r="C193" s="24">
        <v>225</v>
      </c>
      <c r="D193" s="25">
        <v>340</v>
      </c>
      <c r="E193" s="25">
        <v>36</v>
      </c>
      <c r="F193" s="25">
        <f t="shared" si="3"/>
        <v>304</v>
      </c>
      <c r="G193" s="32">
        <v>46097</v>
      </c>
    </row>
    <row r="194" spans="1:7" x14ac:dyDescent="0.3">
      <c r="A194" s="24" t="s">
        <v>87</v>
      </c>
      <c r="B194" s="24" t="s">
        <v>200</v>
      </c>
      <c r="C194" s="24">
        <v>224</v>
      </c>
      <c r="D194" s="25">
        <v>334.5</v>
      </c>
      <c r="E194" s="25">
        <v>40</v>
      </c>
      <c r="F194" s="25">
        <f t="shared" si="3"/>
        <v>294.5</v>
      </c>
      <c r="G194" s="26">
        <v>46097</v>
      </c>
    </row>
    <row r="195" spans="1:7" x14ac:dyDescent="0.3">
      <c r="A195" s="24" t="s">
        <v>87</v>
      </c>
      <c r="B195" s="24" t="s">
        <v>200</v>
      </c>
      <c r="C195" s="24">
        <v>224</v>
      </c>
      <c r="D195" s="25">
        <v>349</v>
      </c>
      <c r="E195" s="25">
        <v>40</v>
      </c>
      <c r="F195" s="25">
        <f t="shared" si="3"/>
        <v>309</v>
      </c>
      <c r="G195" s="26">
        <v>46098</v>
      </c>
    </row>
    <row r="196" spans="1:7" x14ac:dyDescent="0.3">
      <c r="A196" s="24" t="s">
        <v>87</v>
      </c>
      <c r="B196" s="24" t="s">
        <v>201</v>
      </c>
      <c r="C196" s="24">
        <v>224</v>
      </c>
      <c r="D196" s="25">
        <v>318.5</v>
      </c>
      <c r="E196" s="25">
        <v>40</v>
      </c>
      <c r="F196" s="25">
        <f t="shared" si="3"/>
        <v>278.5</v>
      </c>
      <c r="G196" s="26">
        <v>46100</v>
      </c>
    </row>
    <row r="197" spans="1:7" x14ac:dyDescent="0.3">
      <c r="A197" s="24" t="s">
        <v>87</v>
      </c>
      <c r="B197" s="24" t="s">
        <v>201</v>
      </c>
      <c r="C197" s="24">
        <v>225</v>
      </c>
      <c r="D197" s="25">
        <v>325</v>
      </c>
      <c r="E197" s="25">
        <v>36</v>
      </c>
      <c r="F197" s="25">
        <f t="shared" si="3"/>
        <v>289</v>
      </c>
      <c r="G197" s="26">
        <v>46100</v>
      </c>
    </row>
    <row r="198" spans="1:7" x14ac:dyDescent="0.3">
      <c r="A198" s="24" t="s">
        <v>87</v>
      </c>
      <c r="B198" s="24" t="s">
        <v>202</v>
      </c>
      <c r="C198" s="24">
        <v>224</v>
      </c>
      <c r="D198" s="25">
        <v>334</v>
      </c>
      <c r="E198" s="25">
        <v>40</v>
      </c>
      <c r="F198" s="25">
        <f t="shared" si="3"/>
        <v>294</v>
      </c>
      <c r="G198" s="26">
        <v>46106</v>
      </c>
    </row>
    <row r="199" spans="1:7" x14ac:dyDescent="0.3">
      <c r="A199" s="24" t="s">
        <v>87</v>
      </c>
      <c r="B199" s="24" t="s">
        <v>202</v>
      </c>
      <c r="C199" s="24">
        <v>224</v>
      </c>
      <c r="D199" s="25">
        <v>334</v>
      </c>
      <c r="E199" s="25">
        <v>40</v>
      </c>
      <c r="F199" s="25">
        <f t="shared" si="3"/>
        <v>294</v>
      </c>
      <c r="G199" s="26">
        <v>46106</v>
      </c>
    </row>
    <row r="200" spans="1:7" x14ac:dyDescent="0.3">
      <c r="A200" s="24" t="s">
        <v>87</v>
      </c>
      <c r="B200" s="24" t="s">
        <v>202</v>
      </c>
      <c r="C200" s="24">
        <v>231</v>
      </c>
      <c r="D200" s="25">
        <v>351</v>
      </c>
      <c r="E200" s="25">
        <v>40</v>
      </c>
      <c r="F200" s="25">
        <f t="shared" si="3"/>
        <v>311</v>
      </c>
      <c r="G200" s="26">
        <v>46106</v>
      </c>
    </row>
    <row r="201" spans="1:7" x14ac:dyDescent="0.3">
      <c r="A201" s="27" t="s">
        <v>87</v>
      </c>
      <c r="B201" s="27" t="s">
        <v>203</v>
      </c>
      <c r="C201" s="24">
        <v>224</v>
      </c>
      <c r="D201" s="25">
        <v>320</v>
      </c>
      <c r="E201" s="25">
        <v>40</v>
      </c>
      <c r="F201" s="25">
        <f t="shared" si="3"/>
        <v>280</v>
      </c>
      <c r="G201" s="26">
        <v>46108</v>
      </c>
    </row>
    <row r="202" spans="1:7" x14ac:dyDescent="0.3">
      <c r="A202" s="27" t="s">
        <v>87</v>
      </c>
      <c r="B202" s="27" t="s">
        <v>203</v>
      </c>
      <c r="C202" s="24">
        <v>224</v>
      </c>
      <c r="D202" s="25">
        <v>342</v>
      </c>
      <c r="E202" s="25">
        <v>40</v>
      </c>
      <c r="F202" s="25">
        <f t="shared" si="3"/>
        <v>302</v>
      </c>
      <c r="G202" s="26">
        <v>46108</v>
      </c>
    </row>
    <row r="203" spans="1:7" x14ac:dyDescent="0.3">
      <c r="A203" s="27" t="s">
        <v>87</v>
      </c>
      <c r="B203" s="27" t="s">
        <v>203</v>
      </c>
      <c r="C203" s="24">
        <v>224</v>
      </c>
      <c r="D203" s="25">
        <v>328</v>
      </c>
      <c r="E203" s="25">
        <v>36</v>
      </c>
      <c r="F203" s="25">
        <f t="shared" si="3"/>
        <v>292</v>
      </c>
      <c r="G203" s="26">
        <v>46111</v>
      </c>
    </row>
    <row r="204" spans="1:7" x14ac:dyDescent="0.3">
      <c r="A204" s="27" t="s">
        <v>87</v>
      </c>
      <c r="B204" s="27" t="s">
        <v>203</v>
      </c>
      <c r="C204" s="24">
        <v>231</v>
      </c>
      <c r="D204" s="25">
        <v>347</v>
      </c>
      <c r="E204" s="25">
        <v>40</v>
      </c>
      <c r="F204" s="25">
        <f t="shared" si="3"/>
        <v>307</v>
      </c>
      <c r="G204" s="26">
        <v>46111</v>
      </c>
    </row>
    <row r="205" spans="1:7" x14ac:dyDescent="0.3">
      <c r="A205" s="27" t="s">
        <v>87</v>
      </c>
      <c r="B205" s="27" t="s">
        <v>204</v>
      </c>
      <c r="C205" s="24">
        <v>235</v>
      </c>
      <c r="D205" s="25">
        <v>351.5</v>
      </c>
      <c r="E205" s="25">
        <v>40</v>
      </c>
      <c r="F205" s="25">
        <f t="shared" si="3"/>
        <v>311.5</v>
      </c>
      <c r="G205" s="26">
        <v>46112</v>
      </c>
    </row>
    <row r="206" spans="1:7" x14ac:dyDescent="0.3">
      <c r="A206" s="27" t="s">
        <v>87</v>
      </c>
      <c r="B206" s="27" t="s">
        <v>204</v>
      </c>
      <c r="C206" s="24">
        <v>224</v>
      </c>
      <c r="D206" s="25">
        <v>331</v>
      </c>
      <c r="E206" s="25">
        <v>40</v>
      </c>
      <c r="F206" s="25">
        <f t="shared" si="3"/>
        <v>291</v>
      </c>
      <c r="G206" s="26">
        <v>46112</v>
      </c>
    </row>
    <row r="207" spans="1:7" x14ac:dyDescent="0.3">
      <c r="A207" s="27" t="s">
        <v>87</v>
      </c>
      <c r="B207" s="27" t="s">
        <v>204</v>
      </c>
      <c r="C207" s="24">
        <v>224</v>
      </c>
      <c r="D207" s="25">
        <v>349.5</v>
      </c>
      <c r="E207" s="25">
        <v>40</v>
      </c>
      <c r="F207" s="25">
        <f t="shared" si="3"/>
        <v>309.5</v>
      </c>
      <c r="G207" s="26">
        <v>46113</v>
      </c>
    </row>
    <row r="208" spans="1:7" x14ac:dyDescent="0.3">
      <c r="A208" s="27" t="s">
        <v>87</v>
      </c>
      <c r="B208" s="27" t="s">
        <v>204</v>
      </c>
      <c r="C208" s="24">
        <v>224</v>
      </c>
      <c r="D208" s="25">
        <v>319.5</v>
      </c>
      <c r="E208" s="25">
        <v>36</v>
      </c>
      <c r="F208" s="25">
        <f t="shared" si="3"/>
        <v>283.5</v>
      </c>
      <c r="G208" s="26">
        <v>46113</v>
      </c>
    </row>
    <row r="209" spans="1:7" x14ac:dyDescent="0.3">
      <c r="A209" s="27" t="s">
        <v>87</v>
      </c>
      <c r="B209" s="27" t="s">
        <v>204</v>
      </c>
      <c r="C209" s="24">
        <v>221</v>
      </c>
      <c r="D209" s="25">
        <v>309</v>
      </c>
      <c r="E209" s="25">
        <v>36</v>
      </c>
      <c r="F209" s="25">
        <f t="shared" si="3"/>
        <v>273</v>
      </c>
      <c r="G209" s="26">
        <v>46113</v>
      </c>
    </row>
    <row r="210" spans="1:7" x14ac:dyDescent="0.3">
      <c r="A210" s="27" t="s">
        <v>87</v>
      </c>
      <c r="B210" s="27" t="s">
        <v>205</v>
      </c>
      <c r="C210" s="24">
        <v>224</v>
      </c>
      <c r="D210" s="25">
        <v>356</v>
      </c>
      <c r="E210" s="25">
        <v>40</v>
      </c>
      <c r="F210" s="25">
        <f t="shared" si="3"/>
        <v>316</v>
      </c>
      <c r="G210" s="26">
        <v>46119</v>
      </c>
    </row>
    <row r="211" spans="1:7" x14ac:dyDescent="0.3">
      <c r="A211" s="27" t="s">
        <v>87</v>
      </c>
      <c r="B211" s="27" t="s">
        <v>205</v>
      </c>
      <c r="C211" s="24">
        <v>224</v>
      </c>
      <c r="D211" s="25">
        <v>341.5</v>
      </c>
      <c r="E211" s="25">
        <v>40</v>
      </c>
      <c r="F211" s="25">
        <f t="shared" ref="F211:F220" si="4">+D211-E211</f>
        <v>301.5</v>
      </c>
      <c r="G211" s="26">
        <v>46119</v>
      </c>
    </row>
    <row r="212" spans="1:7" x14ac:dyDescent="0.3">
      <c r="A212" s="27" t="s">
        <v>87</v>
      </c>
      <c r="B212" s="27" t="s">
        <v>205</v>
      </c>
      <c r="C212" s="24">
        <v>223</v>
      </c>
      <c r="D212" s="25">
        <v>356</v>
      </c>
      <c r="E212" s="25">
        <v>40</v>
      </c>
      <c r="F212" s="25">
        <f t="shared" si="4"/>
        <v>316</v>
      </c>
      <c r="G212" s="26">
        <v>46119</v>
      </c>
    </row>
    <row r="213" spans="1:7" x14ac:dyDescent="0.3">
      <c r="A213" s="27" t="s">
        <v>87</v>
      </c>
      <c r="B213" s="27" t="s">
        <v>206</v>
      </c>
      <c r="C213" s="24">
        <v>224</v>
      </c>
      <c r="D213" s="25">
        <v>350</v>
      </c>
      <c r="E213" s="25">
        <v>40</v>
      </c>
      <c r="F213" s="25">
        <f t="shared" si="4"/>
        <v>310</v>
      </c>
      <c r="G213" s="26">
        <v>46126</v>
      </c>
    </row>
    <row r="214" spans="1:7" x14ac:dyDescent="0.3">
      <c r="A214" s="27" t="s">
        <v>87</v>
      </c>
      <c r="B214" s="27" t="s">
        <v>206</v>
      </c>
      <c r="C214" s="24">
        <v>224</v>
      </c>
      <c r="D214" s="25">
        <v>351</v>
      </c>
      <c r="E214" s="25">
        <v>40</v>
      </c>
      <c r="F214" s="25">
        <f t="shared" si="4"/>
        <v>311</v>
      </c>
      <c r="G214" s="26">
        <v>46126</v>
      </c>
    </row>
    <row r="215" spans="1:7" x14ac:dyDescent="0.3">
      <c r="A215" s="27" t="s">
        <v>87</v>
      </c>
      <c r="B215" s="27" t="s">
        <v>206</v>
      </c>
      <c r="C215" s="24">
        <v>223</v>
      </c>
      <c r="D215" s="25">
        <v>349</v>
      </c>
      <c r="E215" s="25">
        <v>40</v>
      </c>
      <c r="F215" s="25">
        <f t="shared" si="4"/>
        <v>309</v>
      </c>
      <c r="G215" s="26">
        <v>46127</v>
      </c>
    </row>
    <row r="216" spans="1:7" x14ac:dyDescent="0.3">
      <c r="A216" s="27" t="s">
        <v>87</v>
      </c>
      <c r="B216" s="27" t="s">
        <v>206</v>
      </c>
      <c r="C216" s="24">
        <v>224</v>
      </c>
      <c r="D216" s="25">
        <v>347</v>
      </c>
      <c r="E216" s="25">
        <v>40</v>
      </c>
      <c r="F216" s="25">
        <f t="shared" si="4"/>
        <v>307</v>
      </c>
      <c r="G216" s="26">
        <v>46127</v>
      </c>
    </row>
    <row r="217" spans="1:7" x14ac:dyDescent="0.3">
      <c r="A217" s="27" t="s">
        <v>87</v>
      </c>
      <c r="B217" s="27" t="s">
        <v>207</v>
      </c>
      <c r="C217" s="24">
        <v>224</v>
      </c>
      <c r="D217" s="25">
        <v>358</v>
      </c>
      <c r="E217" s="25">
        <v>40</v>
      </c>
      <c r="F217" s="25">
        <f t="shared" si="4"/>
        <v>318</v>
      </c>
      <c r="G217" s="26">
        <v>46129</v>
      </c>
    </row>
    <row r="218" spans="1:7" x14ac:dyDescent="0.3">
      <c r="A218" s="27" t="s">
        <v>87</v>
      </c>
      <c r="B218" s="27" t="s">
        <v>207</v>
      </c>
      <c r="C218" s="24">
        <v>225</v>
      </c>
      <c r="D218" s="25">
        <v>352.5</v>
      </c>
      <c r="E218" s="25">
        <v>36</v>
      </c>
      <c r="F218" s="25">
        <f t="shared" si="4"/>
        <v>316.5</v>
      </c>
      <c r="G218" s="26">
        <v>46132</v>
      </c>
    </row>
    <row r="219" spans="1:7" x14ac:dyDescent="0.3">
      <c r="A219" s="27" t="s">
        <v>87</v>
      </c>
      <c r="B219" s="27" t="s">
        <v>207</v>
      </c>
      <c r="C219" s="24">
        <v>224</v>
      </c>
      <c r="D219" s="25">
        <v>352.5</v>
      </c>
      <c r="E219" s="25">
        <v>36</v>
      </c>
      <c r="F219" s="25">
        <f t="shared" si="4"/>
        <v>316.5</v>
      </c>
      <c r="G219" s="26">
        <v>46132</v>
      </c>
    </row>
    <row r="220" spans="1:7" x14ac:dyDescent="0.3">
      <c r="A220" s="27" t="s">
        <v>87</v>
      </c>
      <c r="B220" s="27" t="s">
        <v>208</v>
      </c>
      <c r="C220" s="24">
        <f>186+30</f>
        <v>216</v>
      </c>
      <c r="D220" s="25">
        <v>360</v>
      </c>
      <c r="E220" s="25">
        <v>40</v>
      </c>
      <c r="F220" s="25">
        <f t="shared" si="4"/>
        <v>320</v>
      </c>
      <c r="G220" s="26">
        <v>46136</v>
      </c>
    </row>
    <row r="221" spans="1:7" x14ac:dyDescent="0.3">
      <c r="A221" s="27" t="s">
        <v>87</v>
      </c>
      <c r="B221" s="27" t="s">
        <v>208</v>
      </c>
      <c r="C221" s="27">
        <v>260</v>
      </c>
      <c r="D221" s="25">
        <v>420</v>
      </c>
      <c r="E221" s="25">
        <v>40</v>
      </c>
      <c r="F221" s="25">
        <f>+D221-E221</f>
        <v>380</v>
      </c>
      <c r="G221" s="26">
        <v>46139</v>
      </c>
    </row>
    <row r="222" spans="1:7" x14ac:dyDescent="0.3">
      <c r="A222" s="24" t="s">
        <v>87</v>
      </c>
      <c r="B222" s="24" t="s">
        <v>256</v>
      </c>
      <c r="C222" s="24">
        <v>224</v>
      </c>
      <c r="D222" s="25">
        <v>346</v>
      </c>
      <c r="E222" s="25">
        <v>40</v>
      </c>
      <c r="F222" s="25">
        <f>+D222-E222</f>
        <v>306</v>
      </c>
      <c r="G222" s="26">
        <v>46146</v>
      </c>
    </row>
    <row r="223" spans="1:7" x14ac:dyDescent="0.3">
      <c r="A223" s="24" t="s">
        <v>87</v>
      </c>
      <c r="B223" s="24" t="s">
        <v>256</v>
      </c>
      <c r="C223" s="24">
        <v>224</v>
      </c>
      <c r="D223" s="25">
        <v>342.5</v>
      </c>
      <c r="E223" s="25">
        <v>40</v>
      </c>
      <c r="F223" s="25">
        <f>+D223-E223</f>
        <v>302.5</v>
      </c>
      <c r="G223" s="26">
        <v>46146</v>
      </c>
    </row>
    <row r="224" spans="1:7" x14ac:dyDescent="0.3">
      <c r="A224" s="24" t="s">
        <v>87</v>
      </c>
      <c r="B224" s="27" t="s">
        <v>257</v>
      </c>
      <c r="C224" s="24">
        <v>226</v>
      </c>
      <c r="D224" s="25">
        <v>366.5</v>
      </c>
      <c r="E224" s="25">
        <v>40</v>
      </c>
      <c r="F224" s="25">
        <f>+D224-E224</f>
        <v>326.5</v>
      </c>
      <c r="G224" s="26">
        <v>46149</v>
      </c>
    </row>
    <row r="225" spans="1:7" x14ac:dyDescent="0.3">
      <c r="A225" s="29" t="s">
        <v>87</v>
      </c>
      <c r="B225" s="33" t="s">
        <v>257</v>
      </c>
      <c r="C225" s="29">
        <v>224</v>
      </c>
      <c r="D225" s="30">
        <v>366.5</v>
      </c>
      <c r="E225" s="30">
        <v>40</v>
      </c>
      <c r="F225" s="30">
        <f>+D225-E225</f>
        <v>326.5</v>
      </c>
      <c r="G225" s="31">
        <v>46150</v>
      </c>
    </row>
    <row r="226" spans="1:7" x14ac:dyDescent="0.3">
      <c r="A226" s="24" t="s">
        <v>211</v>
      </c>
      <c r="B226" s="24" t="s">
        <v>209</v>
      </c>
      <c r="C226" s="24">
        <v>79</v>
      </c>
      <c r="D226" s="25">
        <v>447.5</v>
      </c>
      <c r="E226" s="25">
        <v>71.5</v>
      </c>
      <c r="F226" s="25">
        <v>376</v>
      </c>
      <c r="G226" s="26">
        <v>44512</v>
      </c>
    </row>
    <row r="227" spans="1:7" x14ac:dyDescent="0.3">
      <c r="A227" s="24" t="s">
        <v>211</v>
      </c>
      <c r="B227" s="24" t="s">
        <v>210</v>
      </c>
      <c r="C227" s="24">
        <v>101</v>
      </c>
      <c r="D227" s="25">
        <v>396</v>
      </c>
      <c r="E227" s="25">
        <v>27</v>
      </c>
      <c r="F227" s="25">
        <v>369</v>
      </c>
      <c r="G227" s="26">
        <v>44515</v>
      </c>
    </row>
    <row r="228" spans="1:7" x14ac:dyDescent="0.3">
      <c r="A228" s="24" t="s">
        <v>211</v>
      </c>
      <c r="B228" s="24" t="s">
        <v>212</v>
      </c>
      <c r="C228" s="24">
        <v>50</v>
      </c>
      <c r="D228" s="25">
        <v>246.5</v>
      </c>
      <c r="E228" s="25">
        <v>32</v>
      </c>
      <c r="F228" s="25">
        <v>214.5</v>
      </c>
      <c r="G228" s="26">
        <v>44607</v>
      </c>
    </row>
    <row r="229" spans="1:7" x14ac:dyDescent="0.3">
      <c r="A229" s="24" t="s">
        <v>211</v>
      </c>
      <c r="B229" s="24" t="s">
        <v>213</v>
      </c>
      <c r="C229" s="24">
        <v>50</v>
      </c>
      <c r="D229" s="25">
        <v>226.5</v>
      </c>
      <c r="E229" s="25">
        <v>32</v>
      </c>
      <c r="F229" s="25">
        <v>194.5</v>
      </c>
      <c r="G229" s="26">
        <v>44607</v>
      </c>
    </row>
    <row r="230" spans="1:7" x14ac:dyDescent="0.3">
      <c r="A230" s="24" t="s">
        <v>211</v>
      </c>
      <c r="B230" s="24" t="s">
        <v>214</v>
      </c>
      <c r="C230" s="24">
        <v>45</v>
      </c>
      <c r="D230" s="25">
        <v>222</v>
      </c>
      <c r="E230" s="25">
        <v>32</v>
      </c>
      <c r="F230" s="25">
        <v>190</v>
      </c>
      <c r="G230" s="26">
        <v>44613</v>
      </c>
    </row>
    <row r="231" spans="1:7" x14ac:dyDescent="0.3">
      <c r="A231" s="24" t="s">
        <v>211</v>
      </c>
      <c r="B231" s="24" t="s">
        <v>215</v>
      </c>
      <c r="C231" s="24">
        <v>50</v>
      </c>
      <c r="D231" s="25">
        <v>252</v>
      </c>
      <c r="E231" s="25">
        <v>32</v>
      </c>
      <c r="F231" s="25">
        <v>220</v>
      </c>
      <c r="G231" s="26">
        <v>44613</v>
      </c>
    </row>
    <row r="232" spans="1:7" x14ac:dyDescent="0.3">
      <c r="A232" s="24" t="s">
        <v>211</v>
      </c>
      <c r="B232" s="24" t="s">
        <v>216</v>
      </c>
      <c r="C232" s="24">
        <v>50</v>
      </c>
      <c r="D232" s="25">
        <v>254</v>
      </c>
      <c r="E232" s="25">
        <v>32</v>
      </c>
      <c r="F232" s="25">
        <v>222</v>
      </c>
      <c r="G232" s="26">
        <v>44658</v>
      </c>
    </row>
    <row r="233" spans="1:7" x14ac:dyDescent="0.3">
      <c r="A233" s="24" t="s">
        <v>211</v>
      </c>
      <c r="B233" s="24" t="s">
        <v>217</v>
      </c>
      <c r="C233" s="24">
        <v>50</v>
      </c>
      <c r="D233" s="25">
        <v>239</v>
      </c>
      <c r="E233" s="25">
        <v>32</v>
      </c>
      <c r="F233" s="25">
        <v>207</v>
      </c>
      <c r="G233" s="26">
        <v>44658</v>
      </c>
    </row>
    <row r="234" spans="1:7" x14ac:dyDescent="0.3">
      <c r="A234" s="24" t="s">
        <v>211</v>
      </c>
      <c r="B234" s="24" t="s">
        <v>218</v>
      </c>
      <c r="C234" s="24">
        <v>50</v>
      </c>
      <c r="D234" s="25">
        <v>243</v>
      </c>
      <c r="E234" s="25">
        <v>32</v>
      </c>
      <c r="F234" s="25">
        <v>211</v>
      </c>
      <c r="G234" s="26">
        <v>44680</v>
      </c>
    </row>
    <row r="235" spans="1:7" x14ac:dyDescent="0.3">
      <c r="A235" s="24" t="s">
        <v>211</v>
      </c>
      <c r="B235" s="24" t="s">
        <v>219</v>
      </c>
      <c r="C235" s="24">
        <v>50</v>
      </c>
      <c r="D235" s="25">
        <v>252</v>
      </c>
      <c r="E235" s="25">
        <v>32</v>
      </c>
      <c r="F235" s="25">
        <v>220</v>
      </c>
      <c r="G235" s="26">
        <v>44693</v>
      </c>
    </row>
    <row r="236" spans="1:7" x14ac:dyDescent="0.3">
      <c r="A236" s="24" t="s">
        <v>211</v>
      </c>
      <c r="B236" s="24" t="s">
        <v>220</v>
      </c>
      <c r="C236" s="24">
        <v>51</v>
      </c>
      <c r="D236" s="25">
        <v>221</v>
      </c>
      <c r="E236" s="25">
        <v>30</v>
      </c>
      <c r="F236" s="25">
        <v>191</v>
      </c>
      <c r="G236" s="26">
        <v>44693</v>
      </c>
    </row>
    <row r="237" spans="1:7" x14ac:dyDescent="0.3">
      <c r="A237" s="24" t="s">
        <v>211</v>
      </c>
      <c r="B237" s="24" t="s">
        <v>220</v>
      </c>
      <c r="C237" s="24">
        <v>51</v>
      </c>
      <c r="D237" s="25">
        <v>266</v>
      </c>
      <c r="E237" s="25">
        <v>32</v>
      </c>
      <c r="F237" s="25">
        <v>234</v>
      </c>
      <c r="G237" s="26">
        <v>44693</v>
      </c>
    </row>
    <row r="238" spans="1:7" x14ac:dyDescent="0.3">
      <c r="A238" s="24" t="s">
        <v>211</v>
      </c>
      <c r="B238" s="24" t="s">
        <v>221</v>
      </c>
      <c r="C238" s="24">
        <v>50</v>
      </c>
      <c r="D238" s="25">
        <v>199</v>
      </c>
      <c r="E238" s="25">
        <v>29</v>
      </c>
      <c r="F238" s="25">
        <v>170</v>
      </c>
      <c r="G238" s="26">
        <v>44693</v>
      </c>
    </row>
    <row r="239" spans="1:7" x14ac:dyDescent="0.3">
      <c r="A239" s="24" t="s">
        <v>211</v>
      </c>
      <c r="B239" s="24" t="s">
        <v>222</v>
      </c>
      <c r="C239" s="24">
        <v>38</v>
      </c>
      <c r="D239" s="25">
        <v>188.5</v>
      </c>
      <c r="E239" s="25">
        <v>32</v>
      </c>
      <c r="F239" s="25">
        <v>156.5</v>
      </c>
      <c r="G239" s="26">
        <v>44728</v>
      </c>
    </row>
    <row r="240" spans="1:7" x14ac:dyDescent="0.3">
      <c r="A240" s="24" t="s">
        <v>211</v>
      </c>
      <c r="B240" s="24" t="s">
        <v>223</v>
      </c>
      <c r="C240" s="24">
        <v>45</v>
      </c>
      <c r="D240" s="25">
        <v>219.5</v>
      </c>
      <c r="E240" s="25">
        <v>32</v>
      </c>
      <c r="F240" s="25">
        <v>187.5</v>
      </c>
      <c r="G240" s="26">
        <v>44728</v>
      </c>
    </row>
    <row r="241" spans="1:7" x14ac:dyDescent="0.3">
      <c r="A241" s="24" t="s">
        <v>211</v>
      </c>
      <c r="B241" s="24" t="s">
        <v>224</v>
      </c>
      <c r="C241" s="24">
        <v>48</v>
      </c>
      <c r="D241" s="25">
        <v>242</v>
      </c>
      <c r="E241" s="25">
        <v>32</v>
      </c>
      <c r="F241" s="25">
        <v>210</v>
      </c>
      <c r="G241" s="26">
        <v>44728</v>
      </c>
    </row>
    <row r="242" spans="1:7" x14ac:dyDescent="0.3">
      <c r="A242" s="24" t="s">
        <v>211</v>
      </c>
      <c r="B242" s="24" t="s">
        <v>225</v>
      </c>
      <c r="C242" s="24">
        <v>46</v>
      </c>
      <c r="D242" s="25">
        <v>241</v>
      </c>
      <c r="E242" s="25">
        <v>32</v>
      </c>
      <c r="F242" s="25">
        <v>209</v>
      </c>
      <c r="G242" s="26">
        <v>44728</v>
      </c>
    </row>
    <row r="243" spans="1:7" x14ac:dyDescent="0.3">
      <c r="A243" s="24" t="s">
        <v>211</v>
      </c>
      <c r="B243" s="24" t="s">
        <v>226</v>
      </c>
      <c r="C243" s="24">
        <v>50</v>
      </c>
      <c r="D243" s="25">
        <v>229</v>
      </c>
      <c r="E243" s="25">
        <v>32</v>
      </c>
      <c r="F243" s="25">
        <v>197</v>
      </c>
      <c r="G243" s="26">
        <v>44736</v>
      </c>
    </row>
    <row r="244" spans="1:7" x14ac:dyDescent="0.3">
      <c r="A244" s="24" t="s">
        <v>211</v>
      </c>
      <c r="B244" s="24" t="s">
        <v>227</v>
      </c>
      <c r="C244" s="24">
        <v>50</v>
      </c>
      <c r="D244" s="25">
        <v>229</v>
      </c>
      <c r="E244" s="25">
        <v>32</v>
      </c>
      <c r="F244" s="25">
        <v>197</v>
      </c>
      <c r="G244" s="26">
        <v>44736</v>
      </c>
    </row>
    <row r="245" spans="1:7" x14ac:dyDescent="0.3">
      <c r="A245" s="24" t="s">
        <v>228</v>
      </c>
      <c r="B245" s="24" t="s">
        <v>230</v>
      </c>
      <c r="C245" s="24">
        <v>43</v>
      </c>
      <c r="D245" s="25">
        <v>206</v>
      </c>
      <c r="E245" s="25">
        <v>40</v>
      </c>
      <c r="F245" s="25">
        <v>166</v>
      </c>
      <c r="G245" s="26">
        <v>46122</v>
      </c>
    </row>
    <row r="246" spans="1:7" x14ac:dyDescent="0.3">
      <c r="A246" s="24" t="s">
        <v>228</v>
      </c>
      <c r="B246" s="24" t="s">
        <v>231</v>
      </c>
      <c r="C246" s="24">
        <v>126</v>
      </c>
      <c r="D246" s="25">
        <v>519</v>
      </c>
      <c r="E246" s="25">
        <v>40</v>
      </c>
      <c r="F246" s="25">
        <v>479</v>
      </c>
      <c r="G246" s="26">
        <v>46122</v>
      </c>
    </row>
    <row r="247" spans="1:7" ht="15.6" x14ac:dyDescent="0.3">
      <c r="A247" s="27" t="s">
        <v>233</v>
      </c>
      <c r="B247" s="27" t="s">
        <v>15</v>
      </c>
      <c r="C247" s="65">
        <f>40-7-6</f>
        <v>27</v>
      </c>
      <c r="D247" s="66">
        <v>338</v>
      </c>
      <c r="E247" s="25">
        <f>26</f>
        <v>26</v>
      </c>
      <c r="F247" s="67">
        <f>+D247-E247-43.2</f>
        <v>268.8</v>
      </c>
      <c r="G247" s="26">
        <v>44778</v>
      </c>
    </row>
    <row r="248" spans="1:7" ht="15.6" x14ac:dyDescent="0.3">
      <c r="A248" s="27" t="s">
        <v>233</v>
      </c>
      <c r="B248" s="27" t="s">
        <v>15</v>
      </c>
      <c r="C248" s="65">
        <f>50-37</f>
        <v>13</v>
      </c>
      <c r="D248" s="66">
        <v>418</v>
      </c>
      <c r="E248" s="25">
        <f>25+280</f>
        <v>305</v>
      </c>
      <c r="F248" s="67">
        <f>+D248-E248</f>
        <v>113</v>
      </c>
      <c r="G248" s="26">
        <v>44778</v>
      </c>
    </row>
    <row r="249" spans="1:7" ht="15.6" x14ac:dyDescent="0.3">
      <c r="A249" s="33" t="s">
        <v>233</v>
      </c>
      <c r="B249" s="33" t="s">
        <v>15</v>
      </c>
      <c r="C249" s="68">
        <v>49</v>
      </c>
      <c r="D249" s="69">
        <v>404.5</v>
      </c>
      <c r="E249" s="30">
        <v>28</v>
      </c>
      <c r="F249" s="70">
        <f>+D249-E249</f>
        <v>376.5</v>
      </c>
      <c r="G249" s="31">
        <v>44778</v>
      </c>
    </row>
  </sheetData>
  <pageMargins left="0.70866141732283472" right="0.70866141732283472" top="0.74803149606299213" bottom="0.74803149606299213" header="0.31496062992125984" footer="0.31496062992125984"/>
  <pageSetup paperSize="9" scale="95" orientation="portrait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topLeftCell="A15" workbookViewId="0">
      <selection activeCell="I15" sqref="I1:I1048576"/>
    </sheetView>
  </sheetViews>
  <sheetFormatPr baseColWidth="10" defaultRowHeight="14.4" x14ac:dyDescent="0.3"/>
  <cols>
    <col min="1" max="1" width="38.33203125" bestFit="1" customWidth="1"/>
    <col min="2" max="3" width="9.33203125" bestFit="1" customWidth="1"/>
    <col min="4" max="4" width="10.33203125" bestFit="1" customWidth="1"/>
    <col min="5" max="5" width="13.44140625" customWidth="1"/>
    <col min="6" max="7" width="10.33203125" bestFit="1" customWidth="1"/>
    <col min="8" max="8" width="14.33203125" bestFit="1" customWidth="1"/>
  </cols>
  <sheetData>
    <row r="1" spans="1:3" ht="15" thickBot="1" x14ac:dyDescent="0.35">
      <c r="A1" s="1" t="s">
        <v>88</v>
      </c>
      <c r="B1" s="2">
        <v>46142</v>
      </c>
    </row>
    <row r="2" spans="1:3" x14ac:dyDescent="0.3">
      <c r="B2" s="5" t="s">
        <v>89</v>
      </c>
      <c r="C2" s="1" t="s">
        <v>90</v>
      </c>
    </row>
    <row r="3" spans="1:3" x14ac:dyDescent="0.3">
      <c r="A3" s="6" t="s">
        <v>8</v>
      </c>
      <c r="B3" s="7">
        <f t="shared" ref="B3:B25" si="0">SUMIF($A$27:$A$2173,A3,$C$27:$C$2173)</f>
        <v>11</v>
      </c>
      <c r="C3" s="7">
        <f t="shared" ref="C3:C25" si="1">SUMIF($A$27:$A$2173,A3,$D$27:$D$2173)</f>
        <v>59.32</v>
      </c>
    </row>
    <row r="4" spans="1:3" x14ac:dyDescent="0.3">
      <c r="A4" s="6" t="s">
        <v>11</v>
      </c>
      <c r="B4" s="7">
        <f t="shared" si="0"/>
        <v>55</v>
      </c>
      <c r="C4" s="7">
        <f t="shared" si="1"/>
        <v>413.17</v>
      </c>
    </row>
    <row r="5" spans="1:3" x14ac:dyDescent="0.3">
      <c r="A5" s="6" t="s">
        <v>16</v>
      </c>
      <c r="B5" s="7">
        <f t="shared" si="0"/>
        <v>390</v>
      </c>
      <c r="C5" s="7">
        <f t="shared" si="1"/>
        <v>123.35</v>
      </c>
    </row>
    <row r="6" spans="1:3" x14ac:dyDescent="0.3">
      <c r="A6" s="6" t="s">
        <v>19</v>
      </c>
      <c r="B6" s="7">
        <f t="shared" si="0"/>
        <v>367</v>
      </c>
      <c r="C6" s="7">
        <f t="shared" si="1"/>
        <v>1978.4299999999998</v>
      </c>
    </row>
    <row r="7" spans="1:3" x14ac:dyDescent="0.3">
      <c r="A7" s="5" t="s">
        <v>22</v>
      </c>
      <c r="B7" s="7">
        <f t="shared" si="0"/>
        <v>154</v>
      </c>
      <c r="C7" s="7">
        <f t="shared" si="1"/>
        <v>372.19</v>
      </c>
    </row>
    <row r="8" spans="1:3" x14ac:dyDescent="0.3">
      <c r="A8" s="6" t="s">
        <v>25</v>
      </c>
      <c r="B8" s="7">
        <f t="shared" si="0"/>
        <v>414</v>
      </c>
      <c r="C8" s="7">
        <f t="shared" si="1"/>
        <v>2287</v>
      </c>
    </row>
    <row r="9" spans="1:3" x14ac:dyDescent="0.3">
      <c r="A9" s="6" t="s">
        <v>29</v>
      </c>
      <c r="B9" s="7">
        <f t="shared" si="0"/>
        <v>252</v>
      </c>
      <c r="C9" s="7">
        <f t="shared" si="1"/>
        <v>950.07</v>
      </c>
    </row>
    <row r="10" spans="1:3" x14ac:dyDescent="0.3">
      <c r="A10" s="6" t="s">
        <v>41</v>
      </c>
      <c r="B10" s="7">
        <f t="shared" si="0"/>
        <v>897</v>
      </c>
      <c r="C10" s="7">
        <f t="shared" si="1"/>
        <v>1691.41</v>
      </c>
    </row>
    <row r="11" spans="1:3" x14ac:dyDescent="0.3">
      <c r="A11" s="6" t="s">
        <v>44</v>
      </c>
      <c r="B11" s="7">
        <f t="shared" si="0"/>
        <v>564</v>
      </c>
      <c r="C11" s="7">
        <f t="shared" si="1"/>
        <v>1280.55</v>
      </c>
    </row>
    <row r="12" spans="1:3" x14ac:dyDescent="0.3">
      <c r="A12" s="5" t="s">
        <v>49</v>
      </c>
      <c r="B12" s="7">
        <f t="shared" si="0"/>
        <v>492</v>
      </c>
      <c r="C12" s="7">
        <f t="shared" si="1"/>
        <v>634.23</v>
      </c>
    </row>
    <row r="13" spans="1:3" x14ac:dyDescent="0.3">
      <c r="A13" s="6" t="s">
        <v>51</v>
      </c>
      <c r="B13" s="7">
        <f t="shared" si="0"/>
        <v>7</v>
      </c>
      <c r="C13" s="7">
        <f t="shared" si="1"/>
        <v>4.57</v>
      </c>
    </row>
    <row r="14" spans="1:3" x14ac:dyDescent="0.3">
      <c r="A14" s="6" t="s">
        <v>54</v>
      </c>
      <c r="B14" s="7">
        <f t="shared" si="0"/>
        <v>11</v>
      </c>
      <c r="C14" s="7">
        <f t="shared" si="1"/>
        <v>5.2</v>
      </c>
    </row>
    <row r="15" spans="1:3" x14ac:dyDescent="0.3">
      <c r="A15" s="6" t="s">
        <v>56</v>
      </c>
      <c r="B15" s="7">
        <f t="shared" si="0"/>
        <v>1</v>
      </c>
      <c r="C15" s="7">
        <f t="shared" si="1"/>
        <v>1.05</v>
      </c>
    </row>
    <row r="16" spans="1:3" x14ac:dyDescent="0.3">
      <c r="A16" s="6" t="s">
        <v>59</v>
      </c>
      <c r="B16" s="7">
        <f t="shared" si="0"/>
        <v>19</v>
      </c>
      <c r="C16" s="7">
        <f t="shared" si="1"/>
        <v>7.54</v>
      </c>
    </row>
    <row r="17" spans="1:8" x14ac:dyDescent="0.3">
      <c r="A17" s="6" t="s">
        <v>60</v>
      </c>
      <c r="B17" s="7">
        <f t="shared" si="0"/>
        <v>7</v>
      </c>
      <c r="C17" s="7">
        <f t="shared" si="1"/>
        <v>5.6</v>
      </c>
    </row>
    <row r="18" spans="1:8" x14ac:dyDescent="0.3">
      <c r="A18" s="8" t="s">
        <v>61</v>
      </c>
      <c r="B18" s="7">
        <f t="shared" si="0"/>
        <v>63</v>
      </c>
      <c r="C18" s="7">
        <f t="shared" si="1"/>
        <v>108.9</v>
      </c>
    </row>
    <row r="19" spans="1:8" x14ac:dyDescent="0.3">
      <c r="A19" s="5" t="s">
        <v>65</v>
      </c>
      <c r="B19" s="7">
        <f t="shared" si="0"/>
        <v>810</v>
      </c>
      <c r="C19" s="7">
        <f t="shared" si="1"/>
        <v>262.12</v>
      </c>
    </row>
    <row r="20" spans="1:8" x14ac:dyDescent="0.3">
      <c r="A20" s="5" t="s">
        <v>67</v>
      </c>
      <c r="B20" s="7">
        <f t="shared" si="0"/>
        <v>654</v>
      </c>
      <c r="C20" s="7">
        <f t="shared" si="1"/>
        <v>693.29</v>
      </c>
    </row>
    <row r="21" spans="1:8" x14ac:dyDescent="0.3">
      <c r="A21" s="5" t="s">
        <v>73</v>
      </c>
      <c r="B21" s="7">
        <f t="shared" si="0"/>
        <v>26</v>
      </c>
      <c r="C21" s="7">
        <f t="shared" si="1"/>
        <v>6.95</v>
      </c>
    </row>
    <row r="22" spans="1:8" x14ac:dyDescent="0.3">
      <c r="A22" s="5" t="s">
        <v>76</v>
      </c>
      <c r="B22" s="7">
        <f t="shared" si="0"/>
        <v>5</v>
      </c>
      <c r="C22" s="7">
        <f t="shared" si="1"/>
        <v>13.54</v>
      </c>
    </row>
    <row r="23" spans="1:8" x14ac:dyDescent="0.3">
      <c r="A23" s="5" t="s">
        <v>237</v>
      </c>
      <c r="B23" s="7">
        <f t="shared" si="0"/>
        <v>730</v>
      </c>
      <c r="C23" s="7">
        <f t="shared" si="1"/>
        <v>109.5</v>
      </c>
    </row>
    <row r="24" spans="1:8" x14ac:dyDescent="0.3">
      <c r="A24" s="5" t="s">
        <v>79</v>
      </c>
      <c r="B24" s="7">
        <f t="shared" si="0"/>
        <v>567</v>
      </c>
      <c r="C24" s="7">
        <f t="shared" si="1"/>
        <v>2140.37</v>
      </c>
    </row>
    <row r="25" spans="1:8" x14ac:dyDescent="0.3">
      <c r="A25" s="5" t="s">
        <v>82</v>
      </c>
      <c r="B25" s="7">
        <f t="shared" si="0"/>
        <v>391</v>
      </c>
      <c r="C25" s="7">
        <f t="shared" si="1"/>
        <v>732.88000000000011</v>
      </c>
    </row>
    <row r="28" spans="1:8" x14ac:dyDescent="0.3">
      <c r="A28" s="13" t="s">
        <v>0</v>
      </c>
      <c r="B28" s="13" t="s">
        <v>1</v>
      </c>
      <c r="C28" s="13" t="s">
        <v>2</v>
      </c>
      <c r="D28" s="13" t="s">
        <v>3</v>
      </c>
      <c r="E28" s="13" t="s">
        <v>4</v>
      </c>
      <c r="F28" s="13" t="s">
        <v>5</v>
      </c>
      <c r="G28" s="13" t="s">
        <v>6</v>
      </c>
      <c r="H28" s="13" t="s">
        <v>7</v>
      </c>
    </row>
    <row r="29" spans="1:8" x14ac:dyDescent="0.3">
      <c r="A29" t="s">
        <v>237</v>
      </c>
      <c r="B29">
        <v>14</v>
      </c>
      <c r="C29">
        <v>140</v>
      </c>
      <c r="D29">
        <v>21</v>
      </c>
      <c r="E29" t="s">
        <v>416</v>
      </c>
      <c r="F29" t="s">
        <v>417</v>
      </c>
      <c r="G29">
        <v>110</v>
      </c>
      <c r="H29">
        <v>91</v>
      </c>
    </row>
    <row r="30" spans="1:8" x14ac:dyDescent="0.3">
      <c r="A30" t="s">
        <v>237</v>
      </c>
      <c r="B30">
        <v>59</v>
      </c>
      <c r="C30">
        <v>590</v>
      </c>
      <c r="D30">
        <v>88.5</v>
      </c>
      <c r="E30" t="s">
        <v>418</v>
      </c>
      <c r="F30" t="s">
        <v>419</v>
      </c>
      <c r="G30">
        <v>115</v>
      </c>
      <c r="H30">
        <v>95</v>
      </c>
    </row>
    <row r="31" spans="1:8" x14ac:dyDescent="0.3">
      <c r="A31" t="s">
        <v>8</v>
      </c>
      <c r="B31">
        <v>3</v>
      </c>
      <c r="C31">
        <v>11</v>
      </c>
      <c r="D31">
        <v>59.32</v>
      </c>
      <c r="E31" t="s">
        <v>9</v>
      </c>
      <c r="F31" t="s">
        <v>10</v>
      </c>
      <c r="G31">
        <v>400</v>
      </c>
      <c r="H31" s="71">
        <v>55</v>
      </c>
    </row>
    <row r="32" spans="1:8" x14ac:dyDescent="0.3">
      <c r="A32" t="s">
        <v>11</v>
      </c>
      <c r="B32">
        <v>1</v>
      </c>
      <c r="C32">
        <v>1</v>
      </c>
      <c r="D32">
        <v>7.65</v>
      </c>
      <c r="E32" t="s">
        <v>12</v>
      </c>
      <c r="F32" t="s">
        <v>13</v>
      </c>
      <c r="G32">
        <v>274</v>
      </c>
      <c r="H32" s="71">
        <v>38</v>
      </c>
    </row>
    <row r="33" spans="1:8" x14ac:dyDescent="0.3">
      <c r="A33" t="s">
        <v>11</v>
      </c>
      <c r="B33">
        <v>53</v>
      </c>
      <c r="C33">
        <v>53</v>
      </c>
      <c r="D33">
        <v>397.8</v>
      </c>
      <c r="E33" t="s">
        <v>14</v>
      </c>
      <c r="F33" t="s">
        <v>15</v>
      </c>
      <c r="G33">
        <v>345</v>
      </c>
      <c r="H33" s="71">
        <v>47</v>
      </c>
    </row>
    <row r="34" spans="1:8" x14ac:dyDescent="0.3">
      <c r="A34" t="s">
        <v>11</v>
      </c>
      <c r="B34">
        <v>1</v>
      </c>
      <c r="C34">
        <v>1</v>
      </c>
      <c r="D34">
        <v>7.72</v>
      </c>
      <c r="E34" t="s">
        <v>420</v>
      </c>
      <c r="F34" t="s">
        <v>15</v>
      </c>
      <c r="G34">
        <v>413</v>
      </c>
      <c r="H34" s="71">
        <v>57</v>
      </c>
    </row>
    <row r="35" spans="1:8" x14ac:dyDescent="0.3">
      <c r="A35" t="s">
        <v>16</v>
      </c>
      <c r="B35">
        <v>13</v>
      </c>
      <c r="C35">
        <v>390</v>
      </c>
      <c r="D35">
        <v>123.35</v>
      </c>
      <c r="E35" t="s">
        <v>418</v>
      </c>
      <c r="F35" t="s">
        <v>421</v>
      </c>
      <c r="G35">
        <v>115</v>
      </c>
      <c r="H35">
        <v>95</v>
      </c>
    </row>
    <row r="36" spans="1:8" x14ac:dyDescent="0.3">
      <c r="A36" t="s">
        <v>19</v>
      </c>
      <c r="B36">
        <v>1</v>
      </c>
      <c r="C36">
        <v>2</v>
      </c>
      <c r="D36">
        <v>9.43</v>
      </c>
      <c r="E36" t="s">
        <v>20</v>
      </c>
      <c r="F36" t="s">
        <v>21</v>
      </c>
      <c r="G36">
        <v>376</v>
      </c>
      <c r="H36" s="71">
        <v>52</v>
      </c>
    </row>
    <row r="37" spans="1:8" x14ac:dyDescent="0.3">
      <c r="A37" t="s">
        <v>19</v>
      </c>
      <c r="B37">
        <v>8</v>
      </c>
      <c r="C37">
        <v>24</v>
      </c>
      <c r="D37">
        <v>139.94</v>
      </c>
      <c r="E37" t="s">
        <v>47</v>
      </c>
      <c r="F37" t="s">
        <v>422</v>
      </c>
      <c r="G37">
        <v>385</v>
      </c>
      <c r="H37" s="71">
        <v>53</v>
      </c>
    </row>
    <row r="38" spans="1:8" x14ac:dyDescent="0.3">
      <c r="A38" t="s">
        <v>19</v>
      </c>
      <c r="B38">
        <v>23</v>
      </c>
      <c r="C38">
        <v>67</v>
      </c>
      <c r="D38">
        <v>384.71</v>
      </c>
      <c r="E38" t="s">
        <v>239</v>
      </c>
      <c r="F38" t="s">
        <v>422</v>
      </c>
      <c r="G38">
        <v>406</v>
      </c>
      <c r="H38" s="71">
        <v>56</v>
      </c>
    </row>
    <row r="39" spans="1:8" x14ac:dyDescent="0.3">
      <c r="A39" t="s">
        <v>19</v>
      </c>
      <c r="B39">
        <v>1</v>
      </c>
      <c r="C39">
        <v>3</v>
      </c>
      <c r="D39">
        <v>14.18</v>
      </c>
      <c r="E39" t="s">
        <v>239</v>
      </c>
      <c r="F39" t="s">
        <v>177</v>
      </c>
      <c r="G39">
        <v>406</v>
      </c>
      <c r="H39" s="71">
        <v>56</v>
      </c>
    </row>
    <row r="40" spans="1:8" x14ac:dyDescent="0.3">
      <c r="A40" t="s">
        <v>19</v>
      </c>
      <c r="B40">
        <v>15</v>
      </c>
      <c r="C40">
        <v>45</v>
      </c>
      <c r="D40">
        <v>255.37</v>
      </c>
      <c r="E40" t="s">
        <v>240</v>
      </c>
      <c r="F40" t="s">
        <v>422</v>
      </c>
      <c r="G40">
        <v>409</v>
      </c>
      <c r="H40" s="71">
        <v>56</v>
      </c>
    </row>
    <row r="41" spans="1:8" x14ac:dyDescent="0.3">
      <c r="A41" t="s">
        <v>19</v>
      </c>
      <c r="B41">
        <v>10</v>
      </c>
      <c r="C41">
        <v>29</v>
      </c>
      <c r="D41">
        <v>152.69999999999999</v>
      </c>
      <c r="E41" t="s">
        <v>240</v>
      </c>
      <c r="F41" t="s">
        <v>183</v>
      </c>
      <c r="G41">
        <v>409</v>
      </c>
      <c r="H41" s="71">
        <v>56</v>
      </c>
    </row>
    <row r="42" spans="1:8" x14ac:dyDescent="0.3">
      <c r="A42" t="s">
        <v>19</v>
      </c>
      <c r="B42">
        <v>47</v>
      </c>
      <c r="C42">
        <v>141</v>
      </c>
      <c r="D42">
        <v>736.96</v>
      </c>
      <c r="E42" t="s">
        <v>241</v>
      </c>
      <c r="F42" t="s">
        <v>423</v>
      </c>
      <c r="G42">
        <v>410</v>
      </c>
      <c r="H42" s="71">
        <v>56</v>
      </c>
    </row>
    <row r="43" spans="1:8" x14ac:dyDescent="0.3">
      <c r="A43" t="s">
        <v>19</v>
      </c>
      <c r="B43">
        <v>20</v>
      </c>
      <c r="C43">
        <v>56</v>
      </c>
      <c r="D43">
        <v>285.14</v>
      </c>
      <c r="E43" t="s">
        <v>241</v>
      </c>
      <c r="F43" t="s">
        <v>184</v>
      </c>
      <c r="G43">
        <v>410</v>
      </c>
      <c r="H43" s="71">
        <v>56</v>
      </c>
    </row>
    <row r="44" spans="1:8" x14ac:dyDescent="0.3">
      <c r="A44" t="s">
        <v>22</v>
      </c>
      <c r="B44">
        <v>2</v>
      </c>
      <c r="C44">
        <v>2</v>
      </c>
      <c r="D44">
        <v>4.5</v>
      </c>
      <c r="E44" t="s">
        <v>23</v>
      </c>
      <c r="F44" t="s">
        <v>24</v>
      </c>
      <c r="G44">
        <v>368</v>
      </c>
      <c r="H44" s="71">
        <v>51</v>
      </c>
    </row>
    <row r="45" spans="1:8" x14ac:dyDescent="0.3">
      <c r="A45" t="s">
        <v>22</v>
      </c>
      <c r="B45">
        <v>15</v>
      </c>
      <c r="C45">
        <v>90</v>
      </c>
      <c r="D45">
        <v>217.29</v>
      </c>
      <c r="E45" t="s">
        <v>424</v>
      </c>
      <c r="F45" t="s">
        <v>425</v>
      </c>
      <c r="G45">
        <v>417</v>
      </c>
      <c r="H45" s="71">
        <v>57</v>
      </c>
    </row>
    <row r="46" spans="1:8" x14ac:dyDescent="0.3">
      <c r="A46" t="s">
        <v>22</v>
      </c>
      <c r="B46">
        <v>11</v>
      </c>
      <c r="C46">
        <v>62</v>
      </c>
      <c r="D46">
        <v>150.4</v>
      </c>
      <c r="E46" t="s">
        <v>424</v>
      </c>
      <c r="F46" t="s">
        <v>426</v>
      </c>
      <c r="G46">
        <v>417</v>
      </c>
      <c r="H46" s="71">
        <v>57</v>
      </c>
    </row>
    <row r="47" spans="1:8" x14ac:dyDescent="0.3">
      <c r="A47" t="s">
        <v>25</v>
      </c>
      <c r="B47">
        <v>26</v>
      </c>
      <c r="C47">
        <v>78</v>
      </c>
      <c r="D47">
        <v>397.55</v>
      </c>
      <c r="E47" t="s">
        <v>427</v>
      </c>
      <c r="F47" t="s">
        <v>428</v>
      </c>
      <c r="G47">
        <v>416</v>
      </c>
      <c r="H47" s="71">
        <v>57</v>
      </c>
    </row>
    <row r="48" spans="1:8" x14ac:dyDescent="0.3">
      <c r="A48" t="s">
        <v>25</v>
      </c>
      <c r="B48">
        <v>18</v>
      </c>
      <c r="C48">
        <v>51</v>
      </c>
      <c r="D48">
        <v>254.78</v>
      </c>
      <c r="E48" t="s">
        <v>427</v>
      </c>
      <c r="F48" t="s">
        <v>429</v>
      </c>
      <c r="G48">
        <v>416</v>
      </c>
      <c r="H48" s="71">
        <v>57</v>
      </c>
    </row>
    <row r="49" spans="1:8" x14ac:dyDescent="0.3">
      <c r="A49" t="s">
        <v>25</v>
      </c>
      <c r="B49">
        <v>62</v>
      </c>
      <c r="C49">
        <v>185</v>
      </c>
      <c r="D49">
        <v>1007.04</v>
      </c>
      <c r="E49" t="s">
        <v>424</v>
      </c>
      <c r="F49" t="s">
        <v>430</v>
      </c>
      <c r="G49">
        <v>417</v>
      </c>
      <c r="H49" s="71">
        <v>57</v>
      </c>
    </row>
    <row r="50" spans="1:8" x14ac:dyDescent="0.3">
      <c r="A50" t="s">
        <v>25</v>
      </c>
      <c r="B50">
        <v>34</v>
      </c>
      <c r="C50">
        <v>100</v>
      </c>
      <c r="D50">
        <v>627.63</v>
      </c>
      <c r="E50" t="s">
        <v>424</v>
      </c>
      <c r="F50" t="s">
        <v>431</v>
      </c>
      <c r="G50">
        <v>417</v>
      </c>
      <c r="H50" s="71">
        <v>57</v>
      </c>
    </row>
    <row r="51" spans="1:8" x14ac:dyDescent="0.3">
      <c r="A51" t="s">
        <v>29</v>
      </c>
      <c r="B51">
        <v>1</v>
      </c>
      <c r="C51">
        <v>2</v>
      </c>
      <c r="D51">
        <v>7.89</v>
      </c>
      <c r="E51" t="s">
        <v>30</v>
      </c>
      <c r="F51" t="s">
        <v>31</v>
      </c>
      <c r="G51">
        <v>190</v>
      </c>
      <c r="H51" s="71">
        <v>70</v>
      </c>
    </row>
    <row r="52" spans="1:8" x14ac:dyDescent="0.3">
      <c r="A52" t="s">
        <v>29</v>
      </c>
      <c r="B52">
        <v>1</v>
      </c>
      <c r="C52">
        <v>4</v>
      </c>
      <c r="D52">
        <v>13.33</v>
      </c>
      <c r="E52" t="s">
        <v>32</v>
      </c>
      <c r="F52" t="s">
        <v>33</v>
      </c>
      <c r="G52">
        <v>201</v>
      </c>
      <c r="H52" s="71">
        <v>74</v>
      </c>
    </row>
    <row r="53" spans="1:8" x14ac:dyDescent="0.3">
      <c r="A53" t="s">
        <v>29</v>
      </c>
      <c r="B53">
        <v>1</v>
      </c>
      <c r="C53">
        <v>2</v>
      </c>
      <c r="D53">
        <v>6.79</v>
      </c>
      <c r="E53" t="s">
        <v>34</v>
      </c>
      <c r="F53" t="s">
        <v>35</v>
      </c>
      <c r="G53">
        <v>221</v>
      </c>
      <c r="H53">
        <v>81</v>
      </c>
    </row>
    <row r="54" spans="1:8" x14ac:dyDescent="0.3">
      <c r="A54" t="s">
        <v>29</v>
      </c>
      <c r="B54">
        <v>1</v>
      </c>
      <c r="C54">
        <v>1</v>
      </c>
      <c r="D54">
        <v>3.55</v>
      </c>
      <c r="E54" t="s">
        <v>36</v>
      </c>
      <c r="F54" t="s">
        <v>37</v>
      </c>
      <c r="G54">
        <v>223</v>
      </c>
      <c r="H54">
        <v>82</v>
      </c>
    </row>
    <row r="55" spans="1:8" x14ac:dyDescent="0.3">
      <c r="A55" t="s">
        <v>29</v>
      </c>
      <c r="B55">
        <v>16</v>
      </c>
      <c r="C55">
        <v>80</v>
      </c>
      <c r="D55">
        <v>308.06</v>
      </c>
      <c r="E55" t="s">
        <v>38</v>
      </c>
      <c r="F55" t="s">
        <v>37</v>
      </c>
      <c r="G55">
        <v>225</v>
      </c>
      <c r="H55">
        <v>83</v>
      </c>
    </row>
    <row r="56" spans="1:8" x14ac:dyDescent="0.3">
      <c r="A56" t="s">
        <v>29</v>
      </c>
      <c r="B56">
        <v>33</v>
      </c>
      <c r="C56">
        <v>163</v>
      </c>
      <c r="D56">
        <v>610.45000000000005</v>
      </c>
      <c r="E56" t="s">
        <v>39</v>
      </c>
      <c r="F56" t="s">
        <v>40</v>
      </c>
      <c r="G56">
        <v>246</v>
      </c>
      <c r="H56">
        <v>91</v>
      </c>
    </row>
    <row r="57" spans="1:8" x14ac:dyDescent="0.3">
      <c r="A57" t="s">
        <v>41</v>
      </c>
      <c r="B57">
        <v>1</v>
      </c>
      <c r="C57">
        <v>5</v>
      </c>
      <c r="D57">
        <v>8.01</v>
      </c>
      <c r="E57" t="s">
        <v>42</v>
      </c>
      <c r="F57" t="s">
        <v>31</v>
      </c>
      <c r="G57">
        <v>186</v>
      </c>
      <c r="H57" s="71">
        <v>68</v>
      </c>
    </row>
    <row r="58" spans="1:8" x14ac:dyDescent="0.3">
      <c r="A58" t="s">
        <v>41</v>
      </c>
      <c r="B58">
        <v>2</v>
      </c>
      <c r="C58">
        <v>4</v>
      </c>
      <c r="D58">
        <v>13.26</v>
      </c>
      <c r="E58" t="s">
        <v>242</v>
      </c>
      <c r="F58" t="s">
        <v>232</v>
      </c>
      <c r="G58">
        <v>257</v>
      </c>
      <c r="H58">
        <v>95</v>
      </c>
    </row>
    <row r="59" spans="1:8" x14ac:dyDescent="0.3">
      <c r="A59" t="s">
        <v>41</v>
      </c>
      <c r="B59">
        <v>3</v>
      </c>
      <c r="C59">
        <v>30</v>
      </c>
      <c r="D59">
        <v>33.909999999999997</v>
      </c>
      <c r="E59" t="s">
        <v>432</v>
      </c>
      <c r="F59" t="s">
        <v>230</v>
      </c>
      <c r="G59">
        <v>264</v>
      </c>
      <c r="H59">
        <v>97</v>
      </c>
    </row>
    <row r="60" spans="1:8" x14ac:dyDescent="0.3">
      <c r="A60" t="s">
        <v>41</v>
      </c>
      <c r="B60">
        <v>86</v>
      </c>
      <c r="C60">
        <v>858</v>
      </c>
      <c r="D60">
        <v>1636.23</v>
      </c>
      <c r="E60" t="s">
        <v>433</v>
      </c>
      <c r="F60" t="s">
        <v>434</v>
      </c>
      <c r="G60">
        <v>266</v>
      </c>
      <c r="H60">
        <v>98</v>
      </c>
    </row>
    <row r="61" spans="1:8" x14ac:dyDescent="0.3">
      <c r="A61" t="s">
        <v>44</v>
      </c>
      <c r="B61">
        <v>2</v>
      </c>
      <c r="C61">
        <v>16</v>
      </c>
      <c r="D61">
        <v>47.62</v>
      </c>
      <c r="E61" t="s">
        <v>435</v>
      </c>
      <c r="F61" t="s">
        <v>436</v>
      </c>
      <c r="G61">
        <v>234</v>
      </c>
      <c r="H61" s="71">
        <v>32</v>
      </c>
    </row>
    <row r="62" spans="1:8" x14ac:dyDescent="0.3">
      <c r="A62" t="s">
        <v>44</v>
      </c>
      <c r="B62">
        <v>23</v>
      </c>
      <c r="C62">
        <v>180</v>
      </c>
      <c r="D62">
        <v>391.88</v>
      </c>
      <c r="E62" t="s">
        <v>45</v>
      </c>
      <c r="F62" t="s">
        <v>46</v>
      </c>
      <c r="G62">
        <v>361</v>
      </c>
      <c r="H62" s="71">
        <v>50</v>
      </c>
    </row>
    <row r="63" spans="1:8" x14ac:dyDescent="0.3">
      <c r="A63" t="s">
        <v>44</v>
      </c>
      <c r="B63">
        <v>47</v>
      </c>
      <c r="C63">
        <v>368</v>
      </c>
      <c r="D63">
        <v>841.05</v>
      </c>
      <c r="E63" t="s">
        <v>47</v>
      </c>
      <c r="F63" t="s">
        <v>48</v>
      </c>
      <c r="G63">
        <v>385</v>
      </c>
      <c r="H63" s="71">
        <v>53</v>
      </c>
    </row>
    <row r="64" spans="1:8" x14ac:dyDescent="0.3">
      <c r="A64" t="s">
        <v>49</v>
      </c>
      <c r="B64">
        <v>50</v>
      </c>
      <c r="C64">
        <v>492</v>
      </c>
      <c r="D64">
        <v>634.23</v>
      </c>
      <c r="E64" t="s">
        <v>243</v>
      </c>
      <c r="F64" t="s">
        <v>244</v>
      </c>
      <c r="G64">
        <v>167</v>
      </c>
      <c r="H64">
        <v>92</v>
      </c>
    </row>
    <row r="65" spans="1:8" x14ac:dyDescent="0.3">
      <c r="A65" t="s">
        <v>51</v>
      </c>
      <c r="B65">
        <v>1</v>
      </c>
      <c r="C65">
        <v>7</v>
      </c>
      <c r="D65">
        <v>4.57</v>
      </c>
      <c r="E65" t="s">
        <v>52</v>
      </c>
      <c r="F65" t="s">
        <v>53</v>
      </c>
      <c r="G65">
        <v>7</v>
      </c>
      <c r="H65" s="71">
        <v>3</v>
      </c>
    </row>
    <row r="66" spans="1:8" x14ac:dyDescent="0.3">
      <c r="A66" t="s">
        <v>54</v>
      </c>
      <c r="B66">
        <v>1</v>
      </c>
      <c r="C66">
        <v>11</v>
      </c>
      <c r="D66">
        <v>5.2</v>
      </c>
      <c r="E66" t="s">
        <v>50</v>
      </c>
      <c r="F66" t="s">
        <v>55</v>
      </c>
      <c r="G66">
        <v>-57</v>
      </c>
      <c r="H66" s="71">
        <v>-31</v>
      </c>
    </row>
    <row r="67" spans="1:8" x14ac:dyDescent="0.3">
      <c r="A67" t="s">
        <v>56</v>
      </c>
      <c r="B67">
        <v>1</v>
      </c>
      <c r="C67">
        <v>1</v>
      </c>
      <c r="D67">
        <v>1.05</v>
      </c>
      <c r="E67" t="s">
        <v>57</v>
      </c>
      <c r="F67" t="s">
        <v>58</v>
      </c>
      <c r="G67">
        <v>104</v>
      </c>
      <c r="H67" s="71">
        <v>57</v>
      </c>
    </row>
    <row r="68" spans="1:8" x14ac:dyDescent="0.3">
      <c r="A68" t="s">
        <v>59</v>
      </c>
      <c r="B68">
        <v>1</v>
      </c>
      <c r="C68">
        <v>19</v>
      </c>
      <c r="D68">
        <v>7.54</v>
      </c>
      <c r="E68" t="s">
        <v>57</v>
      </c>
      <c r="F68" t="s">
        <v>58</v>
      </c>
      <c r="G68">
        <v>104</v>
      </c>
      <c r="H68" s="71">
        <v>57</v>
      </c>
    </row>
    <row r="69" spans="1:8" x14ac:dyDescent="0.3">
      <c r="A69" t="s">
        <v>60</v>
      </c>
      <c r="B69">
        <v>1</v>
      </c>
      <c r="C69">
        <v>3</v>
      </c>
      <c r="D69">
        <v>2.64</v>
      </c>
      <c r="E69" t="s">
        <v>17</v>
      </c>
      <c r="F69" t="s">
        <v>18</v>
      </c>
      <c r="G69">
        <v>94</v>
      </c>
      <c r="H69" s="71">
        <v>78</v>
      </c>
    </row>
    <row r="70" spans="1:8" x14ac:dyDescent="0.3">
      <c r="A70" t="s">
        <v>60</v>
      </c>
      <c r="B70">
        <v>1</v>
      </c>
      <c r="C70">
        <v>4</v>
      </c>
      <c r="D70">
        <v>2.96</v>
      </c>
      <c r="E70" t="s">
        <v>245</v>
      </c>
      <c r="F70" t="s">
        <v>238</v>
      </c>
      <c r="G70">
        <v>109</v>
      </c>
      <c r="H70">
        <v>90</v>
      </c>
    </row>
    <row r="71" spans="1:8" x14ac:dyDescent="0.3">
      <c r="A71" t="s">
        <v>61</v>
      </c>
      <c r="B71">
        <v>3</v>
      </c>
      <c r="C71">
        <v>12</v>
      </c>
      <c r="D71">
        <v>36.29</v>
      </c>
      <c r="E71" t="s">
        <v>72</v>
      </c>
      <c r="F71" t="s">
        <v>246</v>
      </c>
      <c r="G71">
        <v>72</v>
      </c>
      <c r="H71">
        <v>80</v>
      </c>
    </row>
    <row r="72" spans="1:8" x14ac:dyDescent="0.3">
      <c r="A72" t="s">
        <v>61</v>
      </c>
      <c r="B72">
        <v>2</v>
      </c>
      <c r="C72">
        <v>23</v>
      </c>
      <c r="D72">
        <v>24.85</v>
      </c>
      <c r="E72" t="s">
        <v>247</v>
      </c>
      <c r="F72" t="s">
        <v>248</v>
      </c>
      <c r="G72">
        <v>79</v>
      </c>
      <c r="H72">
        <v>87</v>
      </c>
    </row>
    <row r="73" spans="1:8" x14ac:dyDescent="0.3">
      <c r="A73" t="s">
        <v>61</v>
      </c>
      <c r="B73">
        <v>4</v>
      </c>
      <c r="C73">
        <v>28</v>
      </c>
      <c r="D73">
        <v>47.76</v>
      </c>
      <c r="E73" t="s">
        <v>437</v>
      </c>
      <c r="F73" t="s">
        <v>280</v>
      </c>
      <c r="G73">
        <v>87</v>
      </c>
      <c r="H73">
        <v>96</v>
      </c>
    </row>
    <row r="74" spans="1:8" x14ac:dyDescent="0.3">
      <c r="A74" t="s">
        <v>65</v>
      </c>
      <c r="B74">
        <v>1</v>
      </c>
      <c r="C74">
        <v>30</v>
      </c>
      <c r="D74">
        <v>10.050000000000001</v>
      </c>
      <c r="E74" t="s">
        <v>72</v>
      </c>
      <c r="F74" t="s">
        <v>246</v>
      </c>
      <c r="G74">
        <v>72</v>
      </c>
      <c r="H74">
        <v>80</v>
      </c>
    </row>
    <row r="75" spans="1:8" x14ac:dyDescent="0.3">
      <c r="A75" t="s">
        <v>65</v>
      </c>
      <c r="B75">
        <v>2</v>
      </c>
      <c r="C75">
        <v>60</v>
      </c>
      <c r="D75">
        <v>19.68</v>
      </c>
      <c r="E75" t="s">
        <v>247</v>
      </c>
      <c r="F75" t="s">
        <v>248</v>
      </c>
      <c r="G75">
        <v>79</v>
      </c>
      <c r="H75">
        <v>87</v>
      </c>
    </row>
    <row r="76" spans="1:8" x14ac:dyDescent="0.3">
      <c r="A76" t="s">
        <v>65</v>
      </c>
      <c r="B76">
        <v>24</v>
      </c>
      <c r="C76">
        <v>720</v>
      </c>
      <c r="D76">
        <v>232.39</v>
      </c>
      <c r="E76" t="s">
        <v>437</v>
      </c>
      <c r="F76" t="s">
        <v>280</v>
      </c>
      <c r="G76">
        <v>87</v>
      </c>
      <c r="H76">
        <v>96</v>
      </c>
    </row>
    <row r="77" spans="1:8" x14ac:dyDescent="0.3">
      <c r="A77" t="s">
        <v>67</v>
      </c>
      <c r="B77">
        <v>5</v>
      </c>
      <c r="C77">
        <v>41</v>
      </c>
      <c r="D77">
        <v>50.24</v>
      </c>
      <c r="E77" t="s">
        <v>68</v>
      </c>
      <c r="F77" t="s">
        <v>69</v>
      </c>
      <c r="G77">
        <v>12</v>
      </c>
      <c r="H77" s="71">
        <v>6</v>
      </c>
    </row>
    <row r="78" spans="1:8" x14ac:dyDescent="0.3">
      <c r="A78" t="s">
        <v>67</v>
      </c>
      <c r="B78">
        <v>38</v>
      </c>
      <c r="C78">
        <v>568</v>
      </c>
      <c r="D78">
        <v>594.24</v>
      </c>
      <c r="E78" t="s">
        <v>70</v>
      </c>
      <c r="F78" t="s">
        <v>71</v>
      </c>
      <c r="G78">
        <v>15</v>
      </c>
      <c r="H78" s="71">
        <v>8</v>
      </c>
    </row>
    <row r="79" spans="1:8" x14ac:dyDescent="0.3">
      <c r="A79" t="s">
        <v>67</v>
      </c>
      <c r="B79">
        <v>1</v>
      </c>
      <c r="C79">
        <v>15</v>
      </c>
      <c r="D79">
        <v>18.510000000000002</v>
      </c>
      <c r="E79" t="s">
        <v>438</v>
      </c>
      <c r="F79" t="s">
        <v>69</v>
      </c>
      <c r="G79">
        <v>52</v>
      </c>
      <c r="H79" s="71">
        <v>28</v>
      </c>
    </row>
    <row r="80" spans="1:8" x14ac:dyDescent="0.3">
      <c r="A80" t="s">
        <v>67</v>
      </c>
      <c r="B80">
        <v>2</v>
      </c>
      <c r="C80">
        <v>30</v>
      </c>
      <c r="D80">
        <v>30.3</v>
      </c>
      <c r="E80" t="s">
        <v>439</v>
      </c>
      <c r="F80" t="s">
        <v>71</v>
      </c>
      <c r="G80">
        <v>55</v>
      </c>
      <c r="H80" s="71">
        <v>30</v>
      </c>
    </row>
    <row r="81" spans="1:8" x14ac:dyDescent="0.3">
      <c r="A81" t="s">
        <v>73</v>
      </c>
      <c r="B81">
        <v>1</v>
      </c>
      <c r="C81">
        <v>26</v>
      </c>
      <c r="D81">
        <v>6.95</v>
      </c>
      <c r="E81" t="s">
        <v>74</v>
      </c>
      <c r="F81" t="s">
        <v>75</v>
      </c>
      <c r="G81">
        <v>-72</v>
      </c>
      <c r="H81" s="71">
        <v>-40</v>
      </c>
    </row>
    <row r="82" spans="1:8" x14ac:dyDescent="0.3">
      <c r="A82" t="s">
        <v>76</v>
      </c>
      <c r="B82">
        <v>5</v>
      </c>
      <c r="C82">
        <v>5</v>
      </c>
      <c r="D82">
        <v>13.54</v>
      </c>
      <c r="E82" t="s">
        <v>77</v>
      </c>
      <c r="F82" t="s">
        <v>78</v>
      </c>
      <c r="G82">
        <v>256</v>
      </c>
      <c r="H82" s="71">
        <v>35</v>
      </c>
    </row>
    <row r="83" spans="1:8" x14ac:dyDescent="0.3">
      <c r="A83" t="s">
        <v>79</v>
      </c>
      <c r="B83">
        <v>13</v>
      </c>
      <c r="C83">
        <v>65</v>
      </c>
      <c r="D83">
        <v>243.35</v>
      </c>
      <c r="E83" t="s">
        <v>43</v>
      </c>
      <c r="F83" t="s">
        <v>80</v>
      </c>
      <c r="G83">
        <v>232</v>
      </c>
      <c r="H83">
        <v>85</v>
      </c>
    </row>
    <row r="84" spans="1:8" x14ac:dyDescent="0.3">
      <c r="A84" t="s">
        <v>79</v>
      </c>
      <c r="B84">
        <v>29</v>
      </c>
      <c r="C84">
        <v>145</v>
      </c>
      <c r="D84">
        <v>535.46</v>
      </c>
      <c r="E84" t="s">
        <v>81</v>
      </c>
      <c r="F84" t="s">
        <v>80</v>
      </c>
      <c r="G84">
        <v>235</v>
      </c>
      <c r="H84">
        <v>87</v>
      </c>
    </row>
    <row r="85" spans="1:8" x14ac:dyDescent="0.3">
      <c r="A85" t="s">
        <v>79</v>
      </c>
      <c r="B85">
        <v>72</v>
      </c>
      <c r="C85">
        <v>357</v>
      </c>
      <c r="D85">
        <v>1361.56</v>
      </c>
      <c r="E85" t="s">
        <v>250</v>
      </c>
      <c r="F85" t="s">
        <v>229</v>
      </c>
      <c r="G85">
        <v>259</v>
      </c>
      <c r="H85">
        <v>95</v>
      </c>
    </row>
    <row r="86" spans="1:8" x14ac:dyDescent="0.3">
      <c r="A86" t="s">
        <v>82</v>
      </c>
      <c r="B86">
        <v>1</v>
      </c>
      <c r="C86">
        <v>2</v>
      </c>
      <c r="D86">
        <v>4.8</v>
      </c>
      <c r="E86" t="s">
        <v>83</v>
      </c>
      <c r="F86" t="s">
        <v>31</v>
      </c>
      <c r="G86">
        <v>193</v>
      </c>
      <c r="H86" s="71">
        <v>71</v>
      </c>
    </row>
    <row r="87" spans="1:8" x14ac:dyDescent="0.3">
      <c r="A87" t="s">
        <v>82</v>
      </c>
      <c r="B87">
        <v>13</v>
      </c>
      <c r="C87">
        <v>96</v>
      </c>
      <c r="D87">
        <v>174.75</v>
      </c>
      <c r="E87" t="s">
        <v>81</v>
      </c>
      <c r="F87" t="s">
        <v>84</v>
      </c>
      <c r="G87">
        <v>235</v>
      </c>
      <c r="H87">
        <v>87</v>
      </c>
    </row>
    <row r="88" spans="1:8" x14ac:dyDescent="0.3">
      <c r="A88" t="s">
        <v>82</v>
      </c>
      <c r="B88">
        <v>31</v>
      </c>
      <c r="C88">
        <v>293</v>
      </c>
      <c r="D88">
        <v>553.33000000000004</v>
      </c>
      <c r="E88" t="s">
        <v>251</v>
      </c>
      <c r="F88" t="s">
        <v>229</v>
      </c>
      <c r="G88">
        <v>249</v>
      </c>
      <c r="H88">
        <v>92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A045-1CE9-4671-8811-D31E0C90DE22}">
  <dimension ref="A1:K29"/>
  <sheetViews>
    <sheetView workbookViewId="0">
      <selection activeCell="D17" sqref="D17"/>
    </sheetView>
  </sheetViews>
  <sheetFormatPr baseColWidth="10" defaultRowHeight="14.4" x14ac:dyDescent="0.3"/>
  <cols>
    <col min="1" max="1" width="31.88671875" bestFit="1" customWidth="1"/>
  </cols>
  <sheetData>
    <row r="1" spans="1:7" ht="15" thickBot="1" x14ac:dyDescent="0.35">
      <c r="A1" s="1" t="s">
        <v>88</v>
      </c>
      <c r="B1" s="2">
        <v>46150</v>
      </c>
    </row>
    <row r="2" spans="1:7" ht="15" thickBot="1" x14ac:dyDescent="0.35">
      <c r="B2" s="4"/>
    </row>
    <row r="3" spans="1:7" ht="15" thickBot="1" x14ac:dyDescent="0.35">
      <c r="B3" s="74" t="s">
        <v>234</v>
      </c>
      <c r="C3" s="75"/>
      <c r="D3" s="74" t="s">
        <v>235</v>
      </c>
      <c r="E3" s="75"/>
      <c r="F3" s="74" t="s">
        <v>236</v>
      </c>
      <c r="G3" s="75"/>
    </row>
    <row r="4" spans="1:7" ht="15" thickBot="1" x14ac:dyDescent="0.35">
      <c r="B4" s="19" t="s">
        <v>89</v>
      </c>
      <c r="C4" s="14" t="s">
        <v>90</v>
      </c>
      <c r="D4" s="19" t="s">
        <v>89</v>
      </c>
      <c r="E4" s="14" t="s">
        <v>90</v>
      </c>
      <c r="F4" s="19" t="s">
        <v>89</v>
      </c>
      <c r="G4" s="14" t="s">
        <v>90</v>
      </c>
    </row>
    <row r="5" spans="1:7" x14ac:dyDescent="0.3">
      <c r="A5" s="6" t="s">
        <v>8</v>
      </c>
      <c r="B5" s="15">
        <f>+'stock expedicion'!B3</f>
        <v>11</v>
      </c>
      <c r="C5" s="59">
        <f>+'stock expedicion'!C3</f>
        <v>59.32</v>
      </c>
      <c r="D5" s="62">
        <f>+'stock terminado produccion'!B9</f>
        <v>2722</v>
      </c>
      <c r="E5" s="63">
        <f>+'stock terminado produccion'!C9</f>
        <v>12782</v>
      </c>
      <c r="F5" s="61">
        <f>+'RESUMEN STOCK PROCESO'!B5</f>
        <v>0</v>
      </c>
      <c r="G5" s="15">
        <f>+'RESUMEN STOCK PROCESO'!C5</f>
        <v>0</v>
      </c>
    </row>
    <row r="6" spans="1:7" x14ac:dyDescent="0.3">
      <c r="A6" s="6" t="s">
        <v>11</v>
      </c>
      <c r="B6" s="15">
        <f>+'stock expedicion'!B4</f>
        <v>55</v>
      </c>
      <c r="C6" s="59">
        <f>+'stock expedicion'!C4</f>
        <v>413.17</v>
      </c>
      <c r="D6" s="15">
        <f>+'stock terminado produccion'!B4</f>
        <v>89</v>
      </c>
      <c r="E6" s="16">
        <f>+'stock terminado produccion'!C4</f>
        <v>758.3</v>
      </c>
      <c r="F6" s="61">
        <f>+'RESUMEN STOCK PROCESO'!B6</f>
        <v>0</v>
      </c>
      <c r="G6" s="15">
        <f>+'RESUMEN STOCK PROCESO'!C6</f>
        <v>0</v>
      </c>
    </row>
    <row r="7" spans="1:7" x14ac:dyDescent="0.3">
      <c r="A7" s="6" t="s">
        <v>16</v>
      </c>
      <c r="B7" s="15">
        <f>+'stock expedicion'!B5</f>
        <v>390</v>
      </c>
      <c r="C7" s="59">
        <f>+'stock expedicion'!C5</f>
        <v>123.35</v>
      </c>
      <c r="D7" s="15"/>
      <c r="E7" s="16"/>
      <c r="F7" s="61">
        <f>+'RESUMEN STOCK PROCESO'!B7</f>
        <v>0</v>
      </c>
      <c r="G7" s="15">
        <f>+'RESUMEN STOCK PROCESO'!C7</f>
        <v>0</v>
      </c>
    </row>
    <row r="8" spans="1:7" x14ac:dyDescent="0.3">
      <c r="A8" s="6" t="s">
        <v>19</v>
      </c>
      <c r="B8" s="15">
        <f>+'stock expedicion'!B6</f>
        <v>367</v>
      </c>
      <c r="C8" s="59">
        <f>+'stock expedicion'!C6</f>
        <v>1978.4299999999998</v>
      </c>
      <c r="D8" s="15">
        <f>+'stock terminado produccion'!B5</f>
        <v>511</v>
      </c>
      <c r="E8" s="16">
        <f>+'stock terminado produccion'!C5</f>
        <v>2601.5</v>
      </c>
      <c r="F8" s="61">
        <f>+'RESUMEN STOCK PROCESO'!B8</f>
        <v>24251</v>
      </c>
      <c r="G8" s="15">
        <f>+'RESUMEN STOCK PROCESO'!C8</f>
        <v>282947.09999999998</v>
      </c>
    </row>
    <row r="9" spans="1:7" x14ac:dyDescent="0.3">
      <c r="A9" s="5" t="s">
        <v>22</v>
      </c>
      <c r="B9" s="15">
        <f>+'stock expedicion'!B7</f>
        <v>154</v>
      </c>
      <c r="C9" s="59">
        <f>+'stock expedicion'!C7</f>
        <v>372.19</v>
      </c>
      <c r="D9" s="15"/>
      <c r="E9" s="16"/>
      <c r="F9" s="61">
        <f>+'RESUMEN STOCK PROCESO'!B9</f>
        <v>0</v>
      </c>
      <c r="G9" s="15">
        <f>+'RESUMEN STOCK PROCESO'!C9</f>
        <v>0</v>
      </c>
    </row>
    <row r="10" spans="1:7" x14ac:dyDescent="0.3">
      <c r="A10" s="6" t="s">
        <v>25</v>
      </c>
      <c r="B10" s="15">
        <f>+'stock expedicion'!B8</f>
        <v>414</v>
      </c>
      <c r="C10" s="59">
        <f>+'stock expedicion'!C8</f>
        <v>2287</v>
      </c>
      <c r="D10" s="15">
        <f>+'stock terminado produccion'!B7</f>
        <v>6559</v>
      </c>
      <c r="E10" s="16">
        <f>+'stock terminado produccion'!C7</f>
        <v>37767.5</v>
      </c>
      <c r="F10" s="61">
        <f>+'RESUMEN STOCK PROCESO'!B10</f>
        <v>1119</v>
      </c>
      <c r="G10" s="15">
        <f>+'RESUMEN STOCK PROCESO'!C10</f>
        <v>13150</v>
      </c>
    </row>
    <row r="11" spans="1:7" x14ac:dyDescent="0.3">
      <c r="A11" s="6" t="s">
        <v>29</v>
      </c>
      <c r="B11" s="15">
        <f>+'stock expedicion'!B9</f>
        <v>252</v>
      </c>
      <c r="C11" s="59">
        <f>+'stock expedicion'!C9</f>
        <v>950.07</v>
      </c>
      <c r="D11" s="15">
        <f>+'stock terminado produccion'!B11</f>
        <v>169</v>
      </c>
      <c r="E11" s="16">
        <f>+'stock terminado produccion'!C11</f>
        <v>645</v>
      </c>
      <c r="F11" s="61">
        <f>+'RESUMEN STOCK PROCESO'!B11</f>
        <v>15639</v>
      </c>
      <c r="G11" s="15">
        <f>+'RESUMEN STOCK PROCESO'!C11</f>
        <v>97663</v>
      </c>
    </row>
    <row r="12" spans="1:7" x14ac:dyDescent="0.3">
      <c r="A12" s="6" t="s">
        <v>41</v>
      </c>
      <c r="B12" s="15">
        <f>+'stock expedicion'!B10</f>
        <v>897</v>
      </c>
      <c r="C12" s="59">
        <f>+'stock expedicion'!C10</f>
        <v>1691.41</v>
      </c>
      <c r="D12" s="15">
        <f>+'stock terminado produccion'!B12</f>
        <v>0</v>
      </c>
      <c r="E12" s="16">
        <f>+'stock terminado produccion'!C12</f>
        <v>0</v>
      </c>
      <c r="F12" s="61">
        <f>+'RESUMEN STOCK PROCESO'!B12</f>
        <v>0</v>
      </c>
      <c r="G12" s="15">
        <f>+'RESUMEN STOCK PROCESO'!C12</f>
        <v>0</v>
      </c>
    </row>
    <row r="13" spans="1:7" x14ac:dyDescent="0.3">
      <c r="A13" s="6" t="s">
        <v>99</v>
      </c>
      <c r="B13" s="15"/>
      <c r="C13" s="59"/>
      <c r="D13" s="15">
        <f>+'stock terminado produccion'!B13</f>
        <v>1004</v>
      </c>
      <c r="E13" s="16">
        <f>+'stock terminado produccion'!C13</f>
        <v>4176</v>
      </c>
      <c r="F13" s="61"/>
      <c r="G13" s="15"/>
    </row>
    <row r="14" spans="1:7" x14ac:dyDescent="0.3">
      <c r="A14" s="6" t="s">
        <v>44</v>
      </c>
      <c r="B14" s="15">
        <f>+'stock expedicion'!B11</f>
        <v>564</v>
      </c>
      <c r="C14" s="59">
        <f>+'stock expedicion'!C11</f>
        <v>1280.55</v>
      </c>
      <c r="D14" s="15"/>
      <c r="E14" s="16"/>
      <c r="F14" s="61">
        <f>+'RESUMEN STOCK PROCESO'!B13</f>
        <v>0</v>
      </c>
      <c r="G14" s="15">
        <f>+'RESUMEN STOCK PROCESO'!C13</f>
        <v>0</v>
      </c>
    </row>
    <row r="15" spans="1:7" x14ac:dyDescent="0.3">
      <c r="A15" s="5" t="s">
        <v>49</v>
      </c>
      <c r="B15" s="15">
        <f>+'stock expedicion'!B12</f>
        <v>492</v>
      </c>
      <c r="C15" s="59">
        <f>+'stock expedicion'!C12</f>
        <v>634.23</v>
      </c>
      <c r="D15" s="15">
        <f>+'stock terminado produccion'!B14</f>
        <v>11429</v>
      </c>
      <c r="E15" s="16">
        <f>+'stock terminado produccion'!C14</f>
        <v>15263.5</v>
      </c>
      <c r="F15" s="61">
        <f>+'RESUMEN STOCK PROCESO'!B14</f>
        <v>1345</v>
      </c>
      <c r="G15" s="15">
        <f>+'RESUMEN STOCK PROCESO'!C14</f>
        <v>2924.7</v>
      </c>
    </row>
    <row r="16" spans="1:7" x14ac:dyDescent="0.3">
      <c r="A16" s="6" t="s">
        <v>51</v>
      </c>
      <c r="B16" s="15">
        <f>+'stock expedicion'!B13</f>
        <v>7</v>
      </c>
      <c r="C16" s="59">
        <f>+'stock expedicion'!C13</f>
        <v>4.57</v>
      </c>
      <c r="D16" s="15"/>
      <c r="E16" s="16"/>
      <c r="F16" s="61">
        <f>+'RESUMEN STOCK PROCESO'!B15</f>
        <v>0</v>
      </c>
      <c r="G16" s="15">
        <f>+'RESUMEN STOCK PROCESO'!C15</f>
        <v>0</v>
      </c>
    </row>
    <row r="17" spans="1:11" x14ac:dyDescent="0.3">
      <c r="A17" s="6" t="s">
        <v>54</v>
      </c>
      <c r="B17" s="15">
        <f>+'stock expedicion'!B14</f>
        <v>11</v>
      </c>
      <c r="C17" s="59">
        <f>+'stock expedicion'!C14</f>
        <v>5.2</v>
      </c>
      <c r="D17" s="15"/>
      <c r="E17" s="16"/>
      <c r="F17" s="61">
        <f>+'RESUMEN STOCK PROCESO'!B16</f>
        <v>0</v>
      </c>
      <c r="G17" s="15">
        <f>+'RESUMEN STOCK PROCESO'!C16</f>
        <v>0</v>
      </c>
    </row>
    <row r="18" spans="1:11" x14ac:dyDescent="0.3">
      <c r="A18" s="6" t="s">
        <v>56</v>
      </c>
      <c r="B18" s="15">
        <f>+'stock expedicion'!B15</f>
        <v>1</v>
      </c>
      <c r="C18" s="59">
        <f>+'stock expedicion'!C15</f>
        <v>1.05</v>
      </c>
      <c r="D18" s="15"/>
      <c r="E18" s="16"/>
      <c r="F18" s="61">
        <f>+'RESUMEN STOCK PROCESO'!B17</f>
        <v>202</v>
      </c>
      <c r="G18" s="15">
        <f>+'RESUMEN STOCK PROCESO'!C17</f>
        <v>484</v>
      </c>
    </row>
    <row r="19" spans="1:11" x14ac:dyDescent="0.3">
      <c r="A19" s="6" t="s">
        <v>59</v>
      </c>
      <c r="B19" s="15">
        <f>+'stock expedicion'!B16</f>
        <v>19</v>
      </c>
      <c r="C19" s="59">
        <f>+'stock expedicion'!C16</f>
        <v>7.54</v>
      </c>
      <c r="D19" s="15"/>
      <c r="E19" s="16"/>
      <c r="F19" s="61">
        <f>+'RESUMEN STOCK PROCESO'!B18</f>
        <v>0</v>
      </c>
      <c r="G19" s="15">
        <f>+'RESUMEN STOCK PROCESO'!C18</f>
        <v>0</v>
      </c>
    </row>
    <row r="20" spans="1:11" x14ac:dyDescent="0.3">
      <c r="A20" s="6" t="s">
        <v>60</v>
      </c>
      <c r="B20" s="15">
        <f>+'stock expedicion'!B17</f>
        <v>7</v>
      </c>
      <c r="C20" s="59">
        <f>+'stock expedicion'!C17</f>
        <v>5.6</v>
      </c>
      <c r="D20" s="15"/>
      <c r="E20" s="16"/>
      <c r="F20" s="61">
        <f>+'RESUMEN STOCK PROCESO'!B19</f>
        <v>99</v>
      </c>
      <c r="G20" s="15">
        <f>+'RESUMEN STOCK PROCESO'!C19</f>
        <v>349</v>
      </c>
      <c r="H20" s="22"/>
      <c r="K20" s="23"/>
    </row>
    <row r="21" spans="1:11" x14ac:dyDescent="0.3">
      <c r="A21" s="6" t="s">
        <v>16</v>
      </c>
      <c r="B21" s="15"/>
      <c r="C21" s="59"/>
      <c r="D21" s="15"/>
      <c r="E21" s="16"/>
      <c r="F21" s="61">
        <f>+'RESUMEN STOCK PROCESO'!B20</f>
        <v>0</v>
      </c>
      <c r="G21" s="15">
        <f>+'RESUMEN STOCK PROCESO'!C20</f>
        <v>0</v>
      </c>
      <c r="H21" s="22"/>
      <c r="K21" s="23"/>
    </row>
    <row r="22" spans="1:11" x14ac:dyDescent="0.3">
      <c r="A22" s="8" t="s">
        <v>61</v>
      </c>
      <c r="B22" s="15">
        <f>+'stock expedicion'!B18</f>
        <v>63</v>
      </c>
      <c r="C22" s="59">
        <f>+'stock expedicion'!C18</f>
        <v>108.9</v>
      </c>
      <c r="D22" s="15"/>
      <c r="E22" s="16"/>
      <c r="F22" s="61">
        <f>+'RESUMEN STOCK PROCESO'!B21</f>
        <v>0</v>
      </c>
      <c r="G22" s="15">
        <f>+'RESUMEN STOCK PROCESO'!C21</f>
        <v>0</v>
      </c>
      <c r="H22" s="22"/>
      <c r="K22" s="23"/>
    </row>
    <row r="23" spans="1:11" x14ac:dyDescent="0.3">
      <c r="A23" s="5" t="s">
        <v>65</v>
      </c>
      <c r="B23" s="15">
        <f>+'stock expedicion'!B19</f>
        <v>810</v>
      </c>
      <c r="C23" s="59">
        <f>+'stock expedicion'!C19</f>
        <v>262.12</v>
      </c>
      <c r="D23" s="15"/>
      <c r="E23" s="16"/>
      <c r="F23" s="61">
        <f>+'RESUMEN STOCK PROCESO'!B22</f>
        <v>0</v>
      </c>
      <c r="G23" s="15">
        <f>+'RESUMEN STOCK PROCESO'!C22</f>
        <v>0</v>
      </c>
      <c r="H23" s="22"/>
      <c r="K23" s="23"/>
    </row>
    <row r="24" spans="1:11" x14ac:dyDescent="0.3">
      <c r="A24" s="5" t="s">
        <v>67</v>
      </c>
      <c r="B24" s="15">
        <f>+'stock expedicion'!B20</f>
        <v>654</v>
      </c>
      <c r="C24" s="59">
        <f>+'stock expedicion'!C20</f>
        <v>693.29</v>
      </c>
      <c r="D24" s="15"/>
      <c r="E24" s="16"/>
      <c r="F24" s="61">
        <f>+'RESUMEN STOCK PROCESO'!B23</f>
        <v>0</v>
      </c>
      <c r="G24" s="15">
        <f>+'RESUMEN STOCK PROCESO'!C23</f>
        <v>0</v>
      </c>
    </row>
    <row r="25" spans="1:11" x14ac:dyDescent="0.3">
      <c r="A25" s="5" t="s">
        <v>73</v>
      </c>
      <c r="B25" s="15">
        <f>+'stock expedicion'!B21</f>
        <v>26</v>
      </c>
      <c r="C25" s="59">
        <f>+'stock expedicion'!C21</f>
        <v>6.95</v>
      </c>
      <c r="D25" s="15"/>
      <c r="E25" s="16"/>
      <c r="F25" s="61">
        <f>+'RESUMEN STOCK PROCESO'!B24</f>
        <v>0</v>
      </c>
      <c r="G25" s="15">
        <f>+'RESUMEN STOCK PROCESO'!C24</f>
        <v>0</v>
      </c>
    </row>
    <row r="26" spans="1:11" x14ac:dyDescent="0.3">
      <c r="A26" s="5" t="s">
        <v>76</v>
      </c>
      <c r="B26" s="15">
        <f>+'stock expedicion'!B22</f>
        <v>5</v>
      </c>
      <c r="C26" s="59">
        <f>+'stock expedicion'!C22</f>
        <v>13.54</v>
      </c>
      <c r="D26" s="15"/>
      <c r="E26" s="16"/>
      <c r="F26" s="61">
        <f>+'RESUMEN STOCK PROCESO'!B25</f>
        <v>0</v>
      </c>
      <c r="G26" s="15">
        <f>+'RESUMEN STOCK PROCESO'!C25</f>
        <v>0</v>
      </c>
    </row>
    <row r="27" spans="1:11" x14ac:dyDescent="0.3">
      <c r="A27" s="5" t="s">
        <v>102</v>
      </c>
      <c r="B27" s="15"/>
      <c r="C27" s="59"/>
      <c r="D27" s="15"/>
      <c r="E27" s="16"/>
      <c r="F27" s="61">
        <f>+'RESUMEN STOCK PROCESO'!B26</f>
        <v>31258</v>
      </c>
      <c r="G27" s="15">
        <f>+'RESUMEN STOCK PROCESO'!C26</f>
        <v>8497</v>
      </c>
    </row>
    <row r="28" spans="1:11" x14ac:dyDescent="0.3">
      <c r="A28" s="5" t="s">
        <v>79</v>
      </c>
      <c r="B28" s="15">
        <f>+'stock expedicion'!B24</f>
        <v>567</v>
      </c>
      <c r="C28" s="59">
        <f>+'stock expedicion'!C24</f>
        <v>2140.37</v>
      </c>
      <c r="D28" s="15"/>
      <c r="E28" s="16"/>
      <c r="F28" s="61">
        <f>+'RESUMEN STOCK PROCESO'!B27</f>
        <v>0</v>
      </c>
      <c r="G28" s="15">
        <f>+'RESUMEN STOCK PROCESO'!C27</f>
        <v>0</v>
      </c>
    </row>
    <row r="29" spans="1:11" ht="15" thickBot="1" x14ac:dyDescent="0.35">
      <c r="A29" s="5" t="s">
        <v>82</v>
      </c>
      <c r="B29" s="17">
        <f>+'stock expedicion'!B25</f>
        <v>391</v>
      </c>
      <c r="C29" s="60">
        <f>+'stock expedicion'!C25</f>
        <v>732.88000000000011</v>
      </c>
      <c r="D29" s="17"/>
      <c r="E29" s="18"/>
      <c r="F29" s="61">
        <f>+'RESUMEN STOCK PROCESO'!B28</f>
        <v>0</v>
      </c>
      <c r="G29" s="15">
        <f>+'RESUMEN STOCK PROCESO'!C28</f>
        <v>0</v>
      </c>
    </row>
  </sheetData>
  <mergeCells count="3"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jamon parma</vt:lpstr>
      <vt:lpstr>jamon iberico</vt:lpstr>
      <vt:lpstr>SALAME FUET</vt:lpstr>
      <vt:lpstr>PANCETA SALADA</vt:lpstr>
      <vt:lpstr>BONDIOLA CURADA</vt:lpstr>
      <vt:lpstr>LOMO CURADO</vt:lpstr>
      <vt:lpstr>RAPIDISIMOS</vt:lpstr>
      <vt:lpstr>RESUMEN STOCK PROCESO</vt:lpstr>
      <vt:lpstr>stock terminado produccion</vt:lpstr>
      <vt:lpstr>stock expedicion</vt:lpstr>
      <vt:lpstr>RESUMEN STOCK</vt:lpstr>
      <vt:lpstr>'stock terminado produccion'!Área_de_impresión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Oscar Hollman</cp:lastModifiedBy>
  <cp:lastPrinted>2026-05-04T10:34:38Z</cp:lastPrinted>
  <dcterms:created xsi:type="dcterms:W3CDTF">2026-04-30T19:21:38Z</dcterms:created>
  <dcterms:modified xsi:type="dcterms:W3CDTF">2026-05-18T10:17:10Z</dcterms:modified>
</cp:coreProperties>
</file>